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4c0a7afaa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&amp; Metrics" sheetId="1" r:id="R8215071251c0456b"/>
    <x:sheet xmlns:r="http://schemas.openxmlformats.org/officeDocument/2006/relationships" name="90-Day Ledger" sheetId="2" r:id="R0333c0098d40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%"/>
    <x:numFmt numFmtId="202" formatCode="0"/>
    <x:numFmt numFmtId="203" formatCode="@"/>
  </x:numFmts>
  <x:fonts count="21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color rgb="FF1D4ED8"/>
      <x:name val="Carlito"/>
    </x:font>
    <x:font>
      <x:b/>
      <x:sz val="11"/>
      <x:color rgb="FF854D0E"/>
      <x:name val="Carlito"/>
    </x:font>
    <x:font>
      <x:b/>
      <x:sz val="11"/>
      <x:color rgb="FF0F172A"/>
      <x:name val="Carlito"/>
    </x:font>
    <x:font>
      <x:b/>
      <x:sz val="16"/>
      <x:color rgb="FFFFFFFF"/>
      <x:name val="Carlito"/>
    </x:font>
    <x:font>
      <x:i/>
      <x:sz val="11"/>
      <x:color rgb="FF134E4A"/>
      <x:name val="Carlito"/>
    </x:font>
    <x:font>
      <x:b/>
      <x:sz val="13"/>
      <x:color rgb="FFFFFFFF"/>
      <x:name val="Carlito"/>
    </x:font>
    <x:font>
      <x:b/>
      <x:sz val="14"/>
      <x:color rgb="FF166534"/>
      <x:name val="Carlito"/>
    </x:font>
    <x:font>
      <x:b/>
      <x:sz val="13"/>
      <x:color rgb="FF065F46"/>
      <x:name val="Carlito"/>
    </x:font>
    <x:font>
      <x:b/>
      <x:sz val="13"/>
      <x:color rgb="FF155E75"/>
      <x:name val="Carlito"/>
    </x:font>
    <x:font>
      <x:i/>
      <x:sz val="11"/>
      <x:color rgb="FF0F172A"/>
      <x:name val="Carlito"/>
    </x:font>
    <x:font>
      <x:b/>
      <x:sz val="13"/>
      <x:color rgb="FF854D0E"/>
      <x:name val="Carlito"/>
    </x:font>
    <x:font>
      <x:b/>
      <x:sz val="14"/>
      <x:color rgb="FF854D0E"/>
      <x:name val="Carlito"/>
    </x:font>
    <x:font>
      <x:b/>
      <x:sz val="14"/>
      <x:color rgb="FF334155"/>
      <x:name val="Carlito"/>
    </x:font>
    <x:font>
      <x:b/>
      <x:sz val="13"/>
      <x:color rgb="FF334155"/>
      <x:name val="Carlito"/>
    </x:font>
    <x:font>
      <x:b/>
      <x:sz val="11"/>
      <x:color rgb="FF334155"/>
      <x:name val="Carlito"/>
    </x:font>
    <x:font>
      <x:sz val="11"/>
      <x:color rgb="FF334155"/>
      <x:name val="Carlito"/>
    </x:font>
    <x:font>
      <x:i/>
      <x:sz val="11"/>
      <x:color rgb="FF334155"/>
      <x:name val="Carlito"/>
    </x:font>
    <x:font>
      <x:b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EF2FF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ECFEFF"/>
      </x:patternFill>
    </x:fill>
    <x:fill>
      <x:patternFill patternType="solid">
        <x:fgColor rgb="FFE2E8F0"/>
      </x:patternFill>
    </x:fill>
    <x:fill>
      <x:patternFill patternType="solid">
        <x:fgColor rgb="FFDCFCE7"/>
      </x:patternFill>
    </x:fill>
    <x:fill>
      <x:patternFill patternType="solid">
        <x:fgColor rgb="FFECFDF5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F1F5F9"/>
      </x:patternFill>
    </x:fill>
    <x:fill>
      <x:patternFill patternType="solid">
        <x:fgColor rgb="FFE0F2FE"/>
      </x:patternFill>
    </x:fill>
    <x:fill>
      <x:patternFill patternType="solid">
        <x:fgColor rgb="FFFFFDF5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AB308"/>
      </x:left>
      <x:right style="thin">
        <x:color rgb="FFEAB308"/>
      </x:right>
      <x:top style="thin">
        <x:color rgb="FFEAB308"/>
      </x:top>
      <x:bottom style="thin">
        <x:color rgb="FFEAB308"/>
      </x:bottom>
    </x:border>
    <x:border>
      <x:left style="thin">
        <x:color rgb="FF0F172A"/>
      </x:left>
      <x:right style="thin">
        <x:color rgb="FF0F172A"/>
      </x:right>
      <x:top style="thin">
        <x:color rgb="FF0F172A"/>
      </x:top>
      <x:bottom style="thin">
        <x:color rgb="FF0F172A"/>
      </x:bottom>
    </x:border>
  </x:borders>
  <x:cellStyleXfs count="1">
    <x:xf numFmtId="0" fontId="0" fillId="0" borderId="0"/>
  </x:cellStyleXfs>
  <x:cellXfs count="15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2" fillId="5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4" fillId="5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8" borderId="1" xfId="0" applyNumberFormat="1" applyFont="1" applyFill="1" applyBorder="1"/>
    <x:xf numFmtId="0" fontId="5" fillId="8" borderId="1" xfId="0" applyNumberFormat="1" applyFont="1" applyFill="1" applyBorder="1"/>
    <x:xf numFmtId="200" fontId="2" fillId="4" borderId="1" xfId="0" applyNumberFormat="1" applyFont="1" applyFill="1" applyBorder="1"/>
    <x:xf numFmtId="201" fontId="2" fillId="4" borderId="1" xfId="0" applyNumberFormat="1" applyFont="1" applyFill="1" applyBorder="1"/>
    <x:xf numFmtId="202" fontId="2" fillId="4" borderId="1" xfId="0" applyNumberFormat="1" applyFont="1" applyFill="1" applyBorder="1"/>
    <x:xf numFmtId="200" fontId="5" fillId="4" borderId="1" xfId="0" applyNumberFormat="1" applyFont="1" applyFill="1" applyBorder="1"/>
    <x:xf numFmtId="201" fontId="5" fillId="4" borderId="1" xfId="0" applyNumberFormat="1" applyFont="1" applyFill="1" applyBorder="1"/>
    <x:xf numFmtId="202" fontId="5" fillId="4" borderId="1" xfId="0" applyNumberFormat="1" applyFont="1" applyFill="1" applyBorder="1"/>
    <x:xf numFmtId="0" fontId="2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3" xfId="0" applyNumberFormat="1" applyFont="1" applyFill="1" applyBorder="1"/>
    <x:xf numFmtId="0" fontId="8" fillId="9" borderId="3" xfId="0" applyNumberFormat="1" applyFont="1" applyFill="1" applyBorder="1"/>
    <x:xf numFmtId="0" fontId="9" fillId="9" borderId="3" xfId="0" applyNumberFormat="1" applyFont="1" applyFill="1" applyBorder="1"/>
    <x:xf numFmtId="0" fontId="9" fillId="9" borderId="3" xfId="0" applyNumberFormat="1" applyFont="1" applyFill="1" applyBorder="1" applyAlignment="1">
      <x:alignment horizontal="center"/>
    </x:xf>
    <x:xf numFmtId="0" fontId="9" fillId="9" borderId="3" xfId="0" applyNumberFormat="1" applyFont="1" applyFill="1" applyBorder="1" applyAlignment="1">
      <x:alignment horizontal="center" vertical="center"/>
    </x:xf>
    <x:xf numFmtId="0" fontId="8" fillId="10" borderId="3" xfId="0" applyNumberFormat="1" applyFont="1" applyFill="1" applyBorder="1"/>
    <x:xf numFmtId="0" fontId="10" fillId="10" borderId="3" xfId="0" applyNumberFormat="1" applyFont="1" applyFill="1" applyBorder="1"/>
    <x:xf numFmtId="0" fontId="10" fillId="10" borderId="3" xfId="0" applyNumberFormat="1" applyFont="1" applyFill="1" applyBorder="1" applyAlignment="1">
      <x:alignment horizontal="center"/>
    </x:xf>
    <x:xf numFmtId="0" fontId="8" fillId="7" borderId="3" xfId="0" applyNumberFormat="1" applyFont="1" applyFill="1" applyBorder="1"/>
    <x:xf numFmtId="0" fontId="11" fillId="7" borderId="3" xfId="0" applyNumberFormat="1" applyFont="1" applyFill="1" applyBorder="1"/>
    <x:xf numFmtId="0" fontId="11" fillId="7" borderId="3" xfId="0" applyNumberFormat="1" applyFont="1" applyFill="1" applyBorder="1" applyAlignment="1">
      <x:alignment horizontal="center"/>
    </x:xf>
    <x:xf numFmtId="0" fontId="2" fillId="11" borderId="1" xfId="0" applyNumberFormat="1" applyFont="1" applyFill="1" applyBorder="1"/>
    <x:xf numFmtId="0" fontId="1" fillId="11" borderId="1" xfId="0" applyNumberFormat="1" applyFont="1" applyFill="1" applyBorder="1"/>
    <x:xf numFmtId="0" fontId="2" fillId="12" borderId="1" xfId="0" applyNumberFormat="1" applyFont="1" applyFill="1" applyBorder="1"/>
    <x:xf numFmtId="0" fontId="5" fillId="12" borderId="1" xfId="0" applyNumberFormat="1" applyFont="1" applyFill="1" applyBorder="1"/>
    <x:xf numFmtId="0" fontId="2" fillId="13" borderId="1" xfId="0" applyNumberFormat="1" applyFont="1" applyFill="1" applyBorder="1"/>
    <x:xf numFmtId="0" fontId="12" fillId="13" borderId="1" xfId="0" applyNumberFormat="1" applyFont="1" applyFill="1" applyBorder="1"/>
    <x:xf numFmtId="0" fontId="2" fillId="14" borderId="1" xfId="0" applyNumberFormat="1" applyFont="1" applyFill="1" applyBorder="1"/>
    <x:xf numFmtId="0" fontId="5" fillId="1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200" fontId="5" fillId="4" borderId="1" xfId="0" applyNumberFormat="1" applyFont="1" applyFill="1" applyBorder="1" applyAlignment="1">
      <x:alignment wrapText="1"/>
    </x:xf>
    <x:xf numFmtId="0" fontId="8" fillId="2" borderId="3" xfId="0" applyNumberFormat="1" applyFont="1" applyFill="1" applyBorder="1" applyAlignment="1">
      <x:alignment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201" fontId="5" fillId="4" borderId="1" xfId="0" applyNumberFormat="1" applyFont="1" applyFill="1" applyBorder="1" applyAlignment="1">
      <x:alignment wrapText="1"/>
    </x:xf>
    <x:xf numFmtId="0" fontId="10" fillId="10" borderId="3" xfId="0" applyNumberFormat="1" applyFont="1" applyFill="1" applyBorder="1" applyAlignment="1">
      <x:alignment horizontal="center" wrapText="1"/>
    </x:xf>
    <x:xf numFmtId="202" fontId="5" fillId="4" borderId="1" xfId="0" applyNumberFormat="1" applyFont="1" applyFill="1" applyBorder="1" applyAlignment="1">
      <x:alignment wrapText="1"/>
    </x:xf>
    <x:xf numFmtId="0" fontId="11" fillId="7" borderId="3" xfId="0" applyNumberFormat="1" applyFont="1" applyFill="1" applyBorder="1" applyAlignment="1">
      <x:alignment horizontal="center" wrapText="1"/>
    </x:xf>
    <x:xf numFmtId="0" fontId="1" fillId="11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wrapText="1"/>
    </x:xf>
    <x:xf numFmtId="0" fontId="12" fillId="13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0" fontId="8" fillId="2" borderId="3" xfId="0" applyNumberFormat="1" applyFont="1" applyFill="1" applyBorder="1" applyAlignment="1">
      <x:alignment vertical="center" wrapText="1"/>
    </x:xf>
    <x:xf numFmtId="201" fontId="5" fillId="4" borderId="1" xfId="0" applyNumberFormat="1" applyFont="1" applyFill="1" applyBorder="1" applyAlignment="1">
      <x:alignment vertical="center" wrapText="1"/>
    </x:xf>
    <x:xf numFmtId="0" fontId="10" fillId="10" borderId="3" xfId="0" applyNumberFormat="1" applyFont="1" applyFill="1" applyBorder="1" applyAlignment="1">
      <x:alignment horizontal="center" vertical="center" wrapText="1"/>
    </x:xf>
    <x:xf numFmtId="202" fontId="5" fillId="4" borderId="1" xfId="0" applyNumberFormat="1" applyFont="1" applyFill="1" applyBorder="1" applyAlignment="1">
      <x:alignment vertical="center" wrapText="1"/>
    </x:xf>
    <x:xf numFmtId="0" fontId="11" fillId="7" borderId="3" xfId="0" applyNumberFormat="1" applyFont="1" applyFill="1" applyBorder="1" applyAlignment="1">
      <x:alignment horizontal="center"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vertical="center" wrapText="1"/>
    </x:xf>
    <x:xf numFmtId="0" fontId="12" fillId="13" borderId="1" xfId="0" applyNumberFormat="1" applyFont="1" applyFill="1" applyBorder="1" applyAlignment="1">
      <x:alignment vertical="center" wrapText="1"/>
    </x:xf>
    <x:xf numFmtId="0" fontId="5" fillId="14" borderId="1" xfId="0" applyNumberFormat="1" applyFont="1" applyFill="1" applyBorder="1" applyAlignment="1">
      <x:alignment vertical="center" wrapText="1"/>
    </x:xf>
    <x:xf numFmtId="0" fontId="5" fillId="14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horizontal="left" vertical="center" wrapText="1"/>
    </x:xf>
    <x:xf numFmtId="0" fontId="8" fillId="15" borderId="3" xfId="0" applyNumberFormat="1" applyFont="1" applyFill="1" applyBorder="1" applyAlignment="1">
      <x:alignment vertical="center" wrapText="1"/>
    </x:xf>
    <x:xf numFmtId="0" fontId="9" fillId="15" borderId="3" xfId="0" applyNumberFormat="1" applyFont="1" applyFill="1" applyBorder="1" applyAlignment="1">
      <x:alignment horizontal="center" vertical="center" wrapText="1"/>
    </x:xf>
    <x:xf numFmtId="0" fontId="10" fillId="15" borderId="3" xfId="0" applyNumberFormat="1" applyFont="1" applyFill="1" applyBorder="1" applyAlignment="1">
      <x:alignment horizontal="center" vertical="center" wrapText="1"/>
    </x:xf>
    <x:xf numFmtId="0" fontId="11" fillId="15" borderId="3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vertical="center" wrapText="1"/>
    </x:xf>
    <x:xf numFmtId="0" fontId="8" fillId="15" borderId="1" xfId="0" applyNumberFormat="1" applyFont="1" applyFill="1" applyBorder="1" applyAlignment="1">
      <x:alignment vertical="center" wrapText="1"/>
    </x:xf>
    <x:xf numFmtId="0" fontId="9" fillId="15" borderId="1" xfId="0" applyNumberFormat="1" applyFont="1" applyFill="1" applyBorder="1" applyAlignment="1">
      <x:alignment horizontal="center" vertical="center" wrapText="1"/>
    </x:xf>
    <x:xf numFmtId="0" fontId="10" fillId="15" borderId="1" xfId="0" applyNumberFormat="1" applyFont="1" applyFill="1" applyBorder="1" applyAlignment="1">
      <x:alignment horizontal="center" vertical="center" wrapText="1"/>
    </x:xf>
    <x:xf numFmtId="0" fontId="11" fillId="15" borderId="1" xfId="0" applyNumberFormat="1" applyFont="1" applyFill="1" applyBorder="1" applyAlignment="1">
      <x:alignment horizontal="center" vertical="center" wrapText="1"/>
    </x:xf>
    <x:xf numFmtId="0" fontId="2" fillId="1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3" fillId="5" borderId="1" xfId="0" applyNumberFormat="1" applyFont="1" applyFill="1" applyBorder="1" applyAlignment="1">
      <x:alignment vertical="center" wrapText="1"/>
    </x:xf>
    <x:xf numFmtId="0" fontId="14" fillId="5" borderId="1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9" fillId="16" borderId="1" xfId="0" applyNumberFormat="1" applyFont="1" applyFill="1" applyBorder="1" applyAlignment="1">
      <x:alignment horizontal="center" vertical="center" wrapText="1"/>
    </x:xf>
    <x:xf numFmtId="0" fontId="10" fillId="16" borderId="1" xfId="0" applyNumberFormat="1" applyFont="1" applyFill="1" applyBorder="1" applyAlignment="1">
      <x:alignment horizontal="center" vertical="center" wrapText="1"/>
    </x:xf>
    <x:xf numFmtId="0" fontId="11" fillId="16" borderId="1" xfId="0" applyNumberFormat="1" applyFont="1" applyFill="1" applyBorder="1" applyAlignment="1">
      <x:alignment horizontal="center" vertical="center" wrapText="1"/>
    </x:xf>
    <x:xf numFmtId="0" fontId="2" fillId="16" borderId="1" xfId="0" applyNumberFormat="1" applyFont="1" applyFill="1" applyBorder="1" applyAlignment="1">
      <x:alignment vertical="center" wrapText="1"/>
    </x:xf>
    <x:xf numFmtId="0" fontId="15" fillId="16" borderId="1" xfId="0" applyNumberFormat="1" applyFont="1" applyFill="1" applyBorder="1" applyAlignment="1">
      <x:alignment horizontal="center" vertical="center" wrapText="1"/>
    </x:xf>
    <x:xf numFmtId="0" fontId="16" fillId="16" borderId="1" xfId="0" applyNumberFormat="1" applyFont="1" applyFill="1" applyBorder="1" applyAlignment="1">
      <x:alignment horizontal="center" vertical="center" wrapText="1"/>
    </x:xf>
    <x:xf numFmtId="0" fontId="17" fillId="16" borderId="1" xfId="0" applyNumberFormat="1" applyFont="1" applyFill="1" applyBorder="1" applyAlignment="1">
      <x:alignment vertical="center" wrapText="1"/>
    </x:xf>
    <x:xf numFmtId="0" fontId="15" fillId="16" borderId="1" xfId="0" applyNumberFormat="1" applyFont="1" applyFill="1" applyBorder="1" applyAlignment="1">
      <x:alignment horizontal="left" vertical="center" wrapText="1"/>
    </x:xf>
    <x:xf numFmtId="0" fontId="16" fillId="16" borderId="1" xfId="0" applyNumberFormat="1" applyFont="1" applyFill="1" applyBorder="1" applyAlignment="1">
      <x:alignment horizontal="left" vertical="center" wrapText="1"/>
    </x:xf>
    <x:xf numFmtId="0" fontId="17" fillId="16" borderId="1" xfId="0" applyNumberFormat="1" applyFont="1" applyFill="1" applyBorder="1" applyAlignment="1">
      <x:alignment horizontal="left" vertical="center" wrapText="1"/>
    </x:xf>
    <x:xf numFmtId="203" fontId="15" fillId="16" borderId="1" xfId="0" applyNumberFormat="1" applyFont="1" applyFill="1" applyBorder="1" applyAlignment="1">
      <x:alignment horizontal="left" vertical="center" wrapText="1"/>
    </x:xf>
    <x:xf numFmtId="203" fontId="16" fillId="16" borderId="1" xfId="0" applyNumberFormat="1" applyFont="1" applyFill="1" applyBorder="1" applyAlignment="1">
      <x:alignment horizontal="left" vertical="center" wrapText="1"/>
    </x:xf>
    <x:xf numFmtId="203" fontId="17" fillId="16" borderId="1" xfId="0" applyNumberFormat="1" applyFont="1" applyFill="1" applyBorder="1" applyAlignment="1">
      <x:alignment horizontal="left" vertical="center" wrapText="1"/>
    </x:xf>
    <x:xf numFmtId="200" fontId="17" fillId="16" borderId="1" xfId="0" applyNumberFormat="1" applyFont="1" applyFill="1" applyBorder="1" applyAlignment="1">
      <x:alignment horizontal="left" vertical="center" wrapText="1"/>
    </x:xf>
    <x:xf numFmtId="0" fontId="13" fillId="2" borderId="1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8" fillId="4" borderId="1" xfId="0" applyNumberFormat="1" applyFont="1" applyFill="1" applyBorder="1" applyAlignment="1">
      <x:alignment vertical="center" wrapText="1"/>
    </x:xf>
    <x:xf numFmtId="0" fontId="18" fillId="4" borderId="1" xfId="0" applyNumberFormat="1" applyFont="1" applyFill="1" applyBorder="1" applyAlignment="1">
      <x:alignment horizontal="left" vertical="center" wrapText="1"/>
    </x:xf>
    <x:xf numFmtId="0" fontId="19" fillId="15" borderId="1" xfId="0" applyNumberFormat="1" applyFont="1" applyFill="1" applyBorder="1" applyAlignment="1">
      <x:alignment vertical="center" wrapText="1"/>
    </x:xf>
    <x:xf numFmtId="0" fontId="19" fillId="15" borderId="1" xfId="0" applyNumberFormat="1" applyFont="1" applyFill="1" applyBorder="1" applyAlignment="1">
      <x:alignment horizontal="left" vertical="center" wrapText="1"/>
    </x:xf>
    <x:xf numFmtId="0" fontId="1" fillId="16" borderId="1" xfId="0" applyNumberFormat="1" applyFont="1" applyFill="1" applyBorder="1" applyAlignment="1">
      <x:alignment vertical="center" wrapText="1"/>
    </x:xf>
    <x:xf numFmtId="0" fontId="5" fillId="16" borderId="1" xfId="0" applyNumberFormat="1" applyFont="1" applyFill="1" applyBorder="1" applyAlignment="1">
      <x:alignment vertical="center" wrapText="1"/>
    </x:xf>
    <x:xf numFmtId="0" fontId="12" fillId="16" borderId="1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0" fillId="12" borderId="1" xfId="0" applyNumberFormat="1" applyFont="1" applyFill="1" applyBorder="1"/>
    <x:xf numFmtId="0" fontId="20" fillId="12" borderId="1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54D0E"/>
      </x:font>
      <x:fill>
        <x:patternFill patternType="solid">
          <x:bgColor rgb="FFFEF9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22e078f1f48d5" /><Relationship Type="http://schemas.openxmlformats.org/officeDocument/2006/relationships/theme" Target="/xl/theme/theme1.xml" Id="R7e1c82c241eb4619" /><Relationship Type="http://schemas.openxmlformats.org/officeDocument/2006/relationships/sharedStrings" Target="/xl/sharedStrings.xml" Id="Rc5e82b49b0624ba1" /><Relationship Type="http://schemas.openxmlformats.org/officeDocument/2006/relationships/worksheet" Target="/xl/worksheets/sheet1.xml" Id="R8215071251c0456b" /><Relationship Type="http://schemas.openxmlformats.org/officeDocument/2006/relationships/worksheet" Target="/xl/worksheets/sheet2.xml" Id="R0333c0098d4047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1ca5b36a9e4382" /><Relationship Type="http://schemas.openxmlformats.org/officeDocument/2006/relationships/chart" Target="/xl/drawings/charts/chart2.xml" Id="Rce07a977fc7c4a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Cumulative Distance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Planned Cumulative</c:v>
          </c:tx>
          <c:cat>
            <c:strRef>
              <c:f>'90-Day Ledger'!$J$2:$J$14</c:f>
              <c:strCache>
                <c:ptCount val="0"/>
              </c:strCache>
            </c:strRef>
          </c:cat>
          <c:val>
            <c:numRef>
              <c:f>'90-Day Ledger'!$K$2:$K$14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 Cumulative</c:v>
          </c:tx>
          <c:cat>
            <c:strRef>
              <c:f>'90-Day Ledger'!$J$2:$J$14</c:f>
              <c:strCache>
                <c:ptCount val="0"/>
              </c:strCache>
            </c:strRef>
          </c:cat>
          <c:val>
            <c:numRef>
              <c:f>'90-Day Ledger'!$L$2:$L$14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Status Breakdown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Count</c:v>
          </c:tx>
          <c:cat>
            <c:strRef>
              <c:f>'90-Day Ledger'!$N$2:$N$5</c:f>
              <c:strCache>
                <c:ptCount val="0"/>
              </c:strCache>
            </c:strRef>
          </c:cat>
          <c:val>
            <c:numRef>
              <c:f>'90-Day Ledger'!$O$2:$O$5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19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1ca5b36a9e4382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07a977fc7c4a8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31e6f1190c4e79" /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churchofjesuschrist.org/study/manual/missionary-wellness-fitness/01-fitness/01-fitness1?lang=eng" TargetMode="External"/><Relationship Id="rId2" Type="http://schemas.openxmlformats.org/officeDocument/2006/relationships/hyperlink" Target="https://www.churchofjesuschrist.org/study/manual/missionary-wellness-fitness/01-fitness/01-fitness1?lang=eng" TargetMode="External"/><Relationship Id="rId3" Type="http://schemas.openxmlformats.org/officeDocument/2006/relationships/hyperlink" Target="https://www.churchofjesuschrist.org/study/manual/missionary-wellness-fitness/01-fitness/01-fitness1?lang=eng" TargetMode="External"/><Relationship Id="rId4" Type="http://schemas.openxmlformats.org/officeDocument/2006/relationships/hyperlink" Target="https://www.churchofjesuschrist.org/study/manual/missionary-wellness-fitness/01-fitness/01-fitness1?lang=eng" TargetMode="External"/><Relationship Id="rId5" Type="http://schemas.openxmlformats.org/officeDocument/2006/relationships/hyperlink" Target="https://www.churchofjesuschrist.org/study/manual/missionary-wellness-fitness/01-fitness/01-fitness1?lang=eng" TargetMode="External"/><Relationship Id="rId6" Type="http://schemas.openxmlformats.org/officeDocument/2006/relationships/hyperlink" Target="https://www.churchofjesuschrist.org/study/manual/missionary-wellness-fitness/01-fitness/01-fitness1?lang=eng" TargetMode="External"/><Relationship Id="rId7" Type="http://schemas.openxmlformats.org/officeDocument/2006/relationships/hyperlink" Target="https://www.churchofjesuschrist.org/study/manual/missionary-wellness-fitness/01-fitness/01-fitness1?lang=eng" TargetMode="External"/><Relationship Id="rId8" Type="http://schemas.openxmlformats.org/officeDocument/2006/relationships/hyperlink" Target="https://www.churchofjesuschrist.org/study/manual/missionary-wellness-fitness/01-fitness/01-fitness1?lang=eng" TargetMode="External"/><Relationship Id="rId9" Type="http://schemas.openxmlformats.org/officeDocument/2006/relationships/hyperlink" Target="https://www.churchofjesuschrist.org/study/manual/missionary-wellness-fitness/01-fitness/01-fitness1?lang=eng" TargetMode="External"/><Relationship Id="rId10" Type="http://schemas.openxmlformats.org/officeDocument/2006/relationships/hyperlink" Target="https://www.churchofjesuschrist.org/study/manual/missionary-wellness-fitness/01-fitness/01-fitness1?lang=eng" TargetMode="External"/><Relationship Id="rId11" Type="http://schemas.openxmlformats.org/officeDocument/2006/relationships/hyperlink" Target="https://www.churchofjesuschrist.org/study/manual/missionary-wellness-fitness/01-fitness/01-fitness1?lang=eng" TargetMode="External"/><Relationship Id="rId12" Type="http://schemas.openxmlformats.org/officeDocument/2006/relationships/hyperlink" Target="https://www.churchofjesuschrist.org/study/manual/missionary-wellness-fitness/01-fitness/01-fitness1?lang=eng" TargetMode="External"/><Relationship Id="rId13" Type="http://schemas.openxmlformats.org/officeDocument/2006/relationships/hyperlink" Target="https://www.churchofjesuschrist.org/study/manual/missionary-wellness-fitness/01-fitness/01-fitness1?lang=eng" TargetMode="External"/><Relationship Id="rId14" Type="http://schemas.openxmlformats.org/officeDocument/2006/relationships/hyperlink" Target="https://www.churchofjesuschrist.org/study/manual/missionary-wellness-fitness/01-fitness/01-fitness1?lang=eng" TargetMode="External"/><Relationship Id="rId15" Type="http://schemas.openxmlformats.org/officeDocument/2006/relationships/hyperlink" Target="https://www.churchofjesuschrist.org/study/manual/missionary-wellness-fitness/01-fitness/01-fitness1?lang=eng" TargetMode="External"/><Relationship Id="rId16" Type="http://schemas.openxmlformats.org/officeDocument/2006/relationships/hyperlink" Target="https://www.churchofjesuschrist.org/study/manual/missionary-wellness-fitness/01-fitness/01-fitness1?lang=eng" TargetMode="External"/><Relationship Id="rId17" Type="http://schemas.openxmlformats.org/officeDocument/2006/relationships/hyperlink" Target="https://www.churchofjesuschrist.org/study/manual/missionary-wellness-fitness/01-fitness/01-fitness1?lang=eng" TargetMode="External"/><Relationship Id="rId18" Type="http://schemas.openxmlformats.org/officeDocument/2006/relationships/hyperlink" Target="https://www.churchofjesuschrist.org/study/manual/missionary-wellness-fitness/01-fitness/01-fitness1?lang=eng" TargetMode="External"/><Relationship Id="rId19" Type="http://schemas.openxmlformats.org/officeDocument/2006/relationships/hyperlink" Target="https://www.churchofjesuschrist.org/study/manual/missionary-wellness-fitness/01-fitness/01-fitness1?lang=eng" TargetMode="External"/><Relationship Id="rId20" Type="http://schemas.openxmlformats.org/officeDocument/2006/relationships/hyperlink" Target="https://www.churchofjesuschrist.org/study/manual/missionary-wellness-fitness/01-fitness/01-fitness1?lang=eng" TargetMode="External"/><Relationship Id="rId21" Type="http://schemas.openxmlformats.org/officeDocument/2006/relationships/hyperlink" Target="https://www.churchofjesuschrist.org/study/manual/missionary-wellness-fitness/01-fitness/01-fitness1?lang=eng" TargetMode="External"/><Relationship Id="rId22" Type="http://schemas.openxmlformats.org/officeDocument/2006/relationships/hyperlink" Target="https://www.churchofjesuschrist.org/study/manual/missionary-wellness-fitness/02-fitness/01-fitness2?lang=eng" TargetMode="External"/><Relationship Id="rId23" Type="http://schemas.openxmlformats.org/officeDocument/2006/relationships/hyperlink" Target="https://www.churchofjesuschrist.org/study/manual/missionary-wellness-fitness/02-fitness/01-fitness2?lang=eng" TargetMode="External"/><Relationship Id="rId24" Type="http://schemas.openxmlformats.org/officeDocument/2006/relationships/hyperlink" Target="https://www.churchofjesuschrist.org/study/manual/missionary-wellness-fitness/02-fitness/01-fitness2?lang=eng" TargetMode="External"/><Relationship Id="rId25" Type="http://schemas.openxmlformats.org/officeDocument/2006/relationships/hyperlink" Target="https://www.churchofjesuschrist.org/study/manual/missionary-wellness-fitness/02-fitness/01-fitness2?lang=eng" TargetMode="External"/><Relationship Id="rId26" Type="http://schemas.openxmlformats.org/officeDocument/2006/relationships/hyperlink" Target="https://www.churchofjesuschrist.org/study/manual/missionary-wellness-fitness/02-fitness/01-fitness2?lang=eng" TargetMode="External"/><Relationship Id="rId27" Type="http://schemas.openxmlformats.org/officeDocument/2006/relationships/hyperlink" Target="https://www.churchofjesuschrist.org/study/manual/missionary-wellness-fitness/02-fitness/01-fitness2?lang=eng" TargetMode="External"/><Relationship Id="rId28" Type="http://schemas.openxmlformats.org/officeDocument/2006/relationships/hyperlink" Target="https://www.churchofjesuschrist.org/study/manual/missionary-wellness-fitness/02-fitness/01-fitness2?lang=eng" TargetMode="External"/><Relationship Id="rId29" Type="http://schemas.openxmlformats.org/officeDocument/2006/relationships/hyperlink" Target="https://www.churchofjesuschrist.org/study/manual/missionary-wellness-fitness/02-fitness/01-fitness2?lang=eng" TargetMode="External"/><Relationship Id="rId30" Type="http://schemas.openxmlformats.org/officeDocument/2006/relationships/hyperlink" Target="https://www.churchofjesuschrist.org/study/manual/missionary-wellness-fitness/02-fitness/01-fitness2?lang=eng" TargetMode="External"/><Relationship Id="rId31" Type="http://schemas.openxmlformats.org/officeDocument/2006/relationships/hyperlink" Target="https://www.churchofjesuschrist.org/study/manual/missionary-wellness-fitness/02-fitness/01-fitness2?lang=eng" TargetMode="External"/><Relationship Id="rId32" Type="http://schemas.openxmlformats.org/officeDocument/2006/relationships/hyperlink" Target="https://www.churchofjesuschrist.org/study/manual/missionary-wellness-fitness/02-fitness/01-fitness2?lang=eng" TargetMode="External"/><Relationship Id="rId33" Type="http://schemas.openxmlformats.org/officeDocument/2006/relationships/hyperlink" Target="https://www.churchofjesuschrist.org/study/manual/missionary-wellness-fitness/02-fitness/01-fitness2?lang=eng" TargetMode="External"/><Relationship Id="rId34" Type="http://schemas.openxmlformats.org/officeDocument/2006/relationships/hyperlink" Target="https://www.churchofjesuschrist.org/study/manual/missionary-wellness-fitness/02-fitness/01-fitness2?lang=eng" TargetMode="External"/><Relationship Id="rId35" Type="http://schemas.openxmlformats.org/officeDocument/2006/relationships/hyperlink" Target="https://www.churchofjesuschrist.org/study/manual/missionary-wellness-fitness/02-fitness/01-fitness2?lang=eng" TargetMode="External"/><Relationship Id="rId36" Type="http://schemas.openxmlformats.org/officeDocument/2006/relationships/hyperlink" Target="https://www.churchofjesuschrist.org/study/manual/missionary-wellness-fitness/02-fitness/01-fitness2?lang=eng" TargetMode="External"/><Relationship Id="rId37" Type="http://schemas.openxmlformats.org/officeDocument/2006/relationships/hyperlink" Target="https://www.churchofjesuschrist.org/study/manual/missionary-wellness-fitness/02-fitness/01-fitness2?lang=eng" TargetMode="External"/><Relationship Id="rId38" Type="http://schemas.openxmlformats.org/officeDocument/2006/relationships/hyperlink" Target="https://www.churchofjesuschrist.org/study/manual/missionary-wellness-fitness/02-fitness/01-fitness2?lang=eng" TargetMode="External"/><Relationship Id="rId39" Type="http://schemas.openxmlformats.org/officeDocument/2006/relationships/hyperlink" Target="https://www.churchofjesuschrist.org/study/manual/missionary-wellness-fitness/02-fitness/01-fitness2?lang=eng" TargetMode="External"/><Relationship Id="rId40" Type="http://schemas.openxmlformats.org/officeDocument/2006/relationships/hyperlink" Target="https://www.churchofjesuschrist.org/study/manual/missionary-wellness-fitness/02-fitness/01-fitness2?lang=eng" TargetMode="External"/><Relationship Id="rId41" Type="http://schemas.openxmlformats.org/officeDocument/2006/relationships/hyperlink" Target="https://www.churchofjesuschrist.org/study/manual/missionary-wellness-fitness/02-fitness/01-fitness2?lang=eng" TargetMode="External"/><Relationship Id="rId42" Type="http://schemas.openxmlformats.org/officeDocument/2006/relationships/hyperlink" Target="https://www.churchofjesuschrist.org/study/manual/missionary-wellness-fitness/02-fitness/01-fitness2?lang=eng" TargetMode="External"/><Relationship Id="rId43" Type="http://schemas.openxmlformats.org/officeDocument/2006/relationships/hyperlink" Target="https://www.churchofjesuschrist.org/study/manual/missionary-wellness-fitness/03-fitness/01-fitness3?lang=eng" TargetMode="External"/><Relationship Id="rId44" Type="http://schemas.openxmlformats.org/officeDocument/2006/relationships/hyperlink" Target="https://www.churchofjesuschrist.org/study/manual/missionary-wellness-fitness/03-fitness/01-fitness3?lang=eng" TargetMode="External"/><Relationship Id="rId45" Type="http://schemas.openxmlformats.org/officeDocument/2006/relationships/hyperlink" Target="https://www.churchofjesuschrist.org/study/manual/missionary-wellness-fitness/03-fitness/01-fitness3?lang=eng" TargetMode="External"/><Relationship Id="rId46" Type="http://schemas.openxmlformats.org/officeDocument/2006/relationships/hyperlink" Target="https://www.churchofjesuschrist.org/study/manual/missionary-wellness-fitness/03-fitness/01-fitness3?lang=eng" TargetMode="External"/><Relationship Id="rId47" Type="http://schemas.openxmlformats.org/officeDocument/2006/relationships/hyperlink" Target="https://www.churchofjesuschrist.org/study/manual/missionary-wellness-fitness/03-fitness/01-fitness3?lang=eng" TargetMode="External"/><Relationship Id="rId48" Type="http://schemas.openxmlformats.org/officeDocument/2006/relationships/hyperlink" Target="https://www.churchofjesuschrist.org/study/manual/missionary-wellness-fitness/03-fitness/01-fitness3?lang=eng" TargetMode="External"/><Relationship Id="rId49" Type="http://schemas.openxmlformats.org/officeDocument/2006/relationships/hyperlink" Target="https://www.churchofjesuschrist.org/study/manual/missionary-wellness-fitness/03-fitness/01-fitness3?lang=eng" TargetMode="External"/><Relationship Id="rId50" Type="http://schemas.openxmlformats.org/officeDocument/2006/relationships/hyperlink" Target="https://www.churchofjesuschrist.org/study/manual/missionary-wellness-fitness/03-fitness/01-fitness3?lang=eng" TargetMode="External"/><Relationship Id="rId51" Type="http://schemas.openxmlformats.org/officeDocument/2006/relationships/hyperlink" Target="https://www.churchofjesuschrist.org/study/manual/missionary-wellness-fitness/03-fitness/01-fitness3?lang=eng" TargetMode="External"/><Relationship Id="rId52" Type="http://schemas.openxmlformats.org/officeDocument/2006/relationships/hyperlink" Target="https://www.churchofjesuschrist.org/study/manual/missionary-wellness-fitness/03-fitness/01-fitness3?lang=eng" TargetMode="External"/><Relationship Id="rId53" Type="http://schemas.openxmlformats.org/officeDocument/2006/relationships/hyperlink" Target="https://www.churchofjesuschrist.org/study/manual/missionary-wellness-fitness/03-fitness/01-fitness3?lang=eng" TargetMode="External"/><Relationship Id="rId54" Type="http://schemas.openxmlformats.org/officeDocument/2006/relationships/hyperlink" Target="https://www.churchofjesuschrist.org/study/manual/missionary-wellness-fitness/03-fitness/01-fitness3?lang=eng" TargetMode="External"/><Relationship Id="rId55" Type="http://schemas.openxmlformats.org/officeDocument/2006/relationships/hyperlink" Target="https://www.churchofjesuschrist.org/study/manual/missionary-wellness-fitness/03-fitness/01-fitness3?lang=eng" TargetMode="External"/><Relationship Id="rId56" Type="http://schemas.openxmlformats.org/officeDocument/2006/relationships/hyperlink" Target="https://www.churchofjesuschrist.org/study/manual/missionary-wellness-fitness/03-fitness/01-fitness3?lang=eng" TargetMode="External"/><Relationship Id="rId57" Type="http://schemas.openxmlformats.org/officeDocument/2006/relationships/hyperlink" Target="https://www.churchofjesuschrist.org/study/manual/missionary-wellness-fitness/03-fitness/01-fitness3?lang=eng" TargetMode="External"/><Relationship Id="rId58" Type="http://schemas.openxmlformats.org/officeDocument/2006/relationships/hyperlink" Target="https://www.churchofjesuschrist.org/study/manual/missionary-wellness-fitness/03-fitness/01-fitness3?lang=eng" TargetMode="External"/><Relationship Id="rId59" Type="http://schemas.openxmlformats.org/officeDocument/2006/relationships/hyperlink" Target="https://www.churchofjesuschrist.org/study/manual/missionary-wellness-fitness/03-fitness/01-fitness3?lang=eng" TargetMode="External"/><Relationship Id="rId60" Type="http://schemas.openxmlformats.org/officeDocument/2006/relationships/hyperlink" Target="https://www.churchofjesuschrist.org/study/manual/missionary-wellness-fitness/03-fitness/01-fitness3?lang=eng" TargetMode="External"/><Relationship Id="rId61" Type="http://schemas.openxmlformats.org/officeDocument/2006/relationships/hyperlink" Target="https://www.churchofjesuschrist.org/study/manual/missionary-wellness-fitness/03-fitness/01-fitness3?lang=eng" TargetMode="External"/><Relationship Id="rId62" Type="http://schemas.openxmlformats.org/officeDocument/2006/relationships/hyperlink" Target="https://www.churchofjesuschrist.org/study/manual/missionary-wellness-fitness/03-fitness/01-fitness3?lang=eng" TargetMode="External"/><Relationship Id="rId63" Type="http://schemas.openxmlformats.org/officeDocument/2006/relationships/hyperlink" Target="https://www.churchofjesuschrist.org/study/manual/missionary-wellness-fitness/03-fitness/01-fitness3?lang=eng" TargetMode="External"/><Relationship Id="rId64" Type="http://schemas.openxmlformats.org/officeDocument/2006/relationships/hyperlink" Target="https://www.churchofjesuschrist.org/study/manual/missionary-wellness-fitness/04-fitness/01-fitness4?lang=eng" TargetMode="External"/><Relationship Id="rId65" Type="http://schemas.openxmlformats.org/officeDocument/2006/relationships/hyperlink" Target="https://www.churchofjesuschrist.org/study/manual/missionary-wellness-fitness/04-fitness/01-fitness4?lang=eng" TargetMode="External"/><Relationship Id="rId66" Type="http://schemas.openxmlformats.org/officeDocument/2006/relationships/hyperlink" Target="https://www.churchofjesuschrist.org/study/manual/missionary-wellness-fitness/04-fitness/01-fitness4?lang=eng" TargetMode="External"/><Relationship Id="rId67" Type="http://schemas.openxmlformats.org/officeDocument/2006/relationships/hyperlink" Target="https://www.churchofjesuschrist.org/study/manual/missionary-wellness-fitness/04-fitness/01-fitness4?lang=eng" TargetMode="External"/><Relationship Id="rId68" Type="http://schemas.openxmlformats.org/officeDocument/2006/relationships/hyperlink" Target="https://www.churchofjesuschrist.org/study/manual/missionary-wellness-fitness/04-fitness/01-fitness4?lang=eng" TargetMode="External"/><Relationship Id="rId69" Type="http://schemas.openxmlformats.org/officeDocument/2006/relationships/hyperlink" Target="https://www.churchofjesuschrist.org/study/manual/missionary-wellness-fitness/04-fitness/01-fitness4?lang=eng" TargetMode="External"/><Relationship Id="rId70" Type="http://schemas.openxmlformats.org/officeDocument/2006/relationships/hyperlink" Target="https://www.churchofjesuschrist.org/study/manual/missionary-wellness-fitness/04-fitness/01-fitness4?lang=eng" TargetMode="External"/><Relationship Id="rId71" Type="http://schemas.openxmlformats.org/officeDocument/2006/relationships/hyperlink" Target="https://www.churchofjesuschrist.org/study/manual/missionary-wellness-fitness/04-fitness/01-fitness4?lang=eng" TargetMode="External"/><Relationship Id="rId72" Type="http://schemas.openxmlformats.org/officeDocument/2006/relationships/hyperlink" Target="https://www.churchofjesuschrist.org/study/manual/missionary-wellness-fitness/04-fitness/01-fitness4?lang=eng" TargetMode="External"/><Relationship Id="rId73" Type="http://schemas.openxmlformats.org/officeDocument/2006/relationships/hyperlink" Target="https://www.churchofjesuschrist.org/study/manual/missionary-wellness-fitness/04-fitness/01-fitness4?lang=eng" TargetMode="External"/><Relationship Id="rId74" Type="http://schemas.openxmlformats.org/officeDocument/2006/relationships/hyperlink" Target="https://www.churchofjesuschrist.org/study/manual/missionary-wellness-fitness/04-fitness/01-fitness4?lang=eng" TargetMode="External"/><Relationship Id="rId75" Type="http://schemas.openxmlformats.org/officeDocument/2006/relationships/hyperlink" Target="https://www.churchofjesuschrist.org/study/manual/missionary-wellness-fitness/04-fitness/01-fitness4?lang=eng" TargetMode="External"/><Relationship Id="rId76" Type="http://schemas.openxmlformats.org/officeDocument/2006/relationships/hyperlink" Target="https://www.churchofjesuschrist.org/study/manual/missionary-wellness-fitness/04-fitness/01-fitness4?lang=eng" TargetMode="External"/><Relationship Id="rId77" Type="http://schemas.openxmlformats.org/officeDocument/2006/relationships/hyperlink" Target="https://www.churchofjesuschrist.org/study/manual/missionary-wellness-fitness/04-fitness/01-fitness4?lang=eng" TargetMode="External"/><Relationship Id="rId78" Type="http://schemas.openxmlformats.org/officeDocument/2006/relationships/hyperlink" Target="https://www.churchofjesuschrist.org/study/manual/missionary-wellness-fitness/04-fitness/01-fitness4?lang=eng" TargetMode="External"/><Relationship Id="rId79" Type="http://schemas.openxmlformats.org/officeDocument/2006/relationships/hyperlink" Target="https://www.churchofjesuschrist.org/study/manual/missionary-wellness-fitness/04-fitness/01-fitness4?lang=eng" TargetMode="External"/><Relationship Id="rId80" Type="http://schemas.openxmlformats.org/officeDocument/2006/relationships/hyperlink" Target="https://www.churchofjesuschrist.org/study/manual/missionary-wellness-fitness/04-fitness/01-fitness4?lang=eng" TargetMode="External"/><Relationship Id="rId81" Type="http://schemas.openxmlformats.org/officeDocument/2006/relationships/hyperlink" Target="https://www.churchofjesuschrist.org/study/manual/missionary-wellness-fitness/04-fitness/01-fitness4?lang=eng" TargetMode="External"/><Relationship Id="rId82" Type="http://schemas.openxmlformats.org/officeDocument/2006/relationships/hyperlink" Target="https://www.churchofjesuschrist.org/study/manual/missionary-wellness-fitness/04-fitness/01-fitness4?lang=eng" TargetMode="External"/><Relationship Id="rId83" Type="http://schemas.openxmlformats.org/officeDocument/2006/relationships/hyperlink" Target="https://www.churchofjesuschrist.org/study/manual/missionary-wellness-fitness/04-fitness/01-fitness4?lang=eng" TargetMode="External"/><Relationship Id="rId84" Type="http://schemas.openxmlformats.org/officeDocument/2006/relationships/hyperlink" Target="https://www.churchofjesuschrist.org/study/manual/missionary-wellness-fitness/04-fitness/01-fitness4?lang=eng" TargetMode="External"/><Relationship Id="rId85" Type="http://schemas.openxmlformats.org/officeDocument/2006/relationships/hyperlink" Target="https://www.churchofjesuschrist.org/study/manual/missionary-wellness-fitness/04-fitness/01-fitness4?lang=eng" TargetMode="External"/><Relationship Id="rId86" Type="http://schemas.openxmlformats.org/officeDocument/2006/relationships/hyperlink" Target="https://www.churchofjesuschrist.org/study/manual/missionary-wellness-fitness/04-fitness/01-fitness4?lang=eng" TargetMode="External"/><Relationship Id="rId87" Type="http://schemas.openxmlformats.org/officeDocument/2006/relationships/hyperlink" Target="https://www.churchofjesuschrist.org/study/manual/missionary-wellness-fitness/04-fitness/01-fitness4?lang=eng" TargetMode="External"/><Relationship Id="rId88" Type="http://schemas.openxmlformats.org/officeDocument/2006/relationships/hyperlink" Target="https://www.churchofjesuschrist.org/study/manual/missionary-wellness-fitness/04-fitness/01-fitness4?lang=eng" TargetMode="External"/><Relationship Id="rId89" Type="http://schemas.openxmlformats.org/officeDocument/2006/relationships/hyperlink" Target="https://www.churchofjesuschrist.org/study/manual/missionary-wellness-fitness/04-fitness/01-fitness4?lang=eng" TargetMode="External"/><Relationship Id="rId90" Type="http://schemas.openxmlformats.org/officeDocument/2006/relationships/hyperlink" Target="https://www.churchofjesuschrist.org/study/manual/missionary-wellness-fitness/04-fitness/01-fitness4?lang=eng" TargetMode="External"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3.75" hidden="0" customWidth="1"/>
    <x:col min="3" max="3" width="20" hidden="0" customWidth="1"/>
    <x:col min="4" max="4" width="20" hidden="0" customWidth="1"/>
    <x:col min="5" max="5" width="22.5" hidden="0" customWidth="1"/>
    <x:col min="6" max="6" width="16.25" hidden="0" customWidth="1"/>
    <x:col min="7" max="7" width="16.25" hidden="0" customWidth="1"/>
    <x:col min="8" max="8" width="16.25" hidden="0" customWidth="1"/>
  </x:cols>
  <x:sheetData>
    <x:row r="1">
      <x:c r="A1" s="68" t="str">
        <x:v>Missionary Ready 90-Day Fitness Tracker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82" t="str">
        <x:v>Built to support a disciplined daily walking plan with a 2 lb/week target as a guiding outcome, not a guarantee. Adjust nutrition and recovery with professional guidance as needed.</x:v>
      </x:c>
      <x:c r="B3" s="82"/>
      <x:c r="C3" s="82"/>
      <x:c r="D3" s="82"/>
      <x:c r="E3" s="82"/>
      <x:c r="F3" s="82"/>
      <x:c r="G3" s="82"/>
      <x:c r="H3" s="82"/>
    </x:row>
    <x:row r="4">
      <x:c r="A4" s="83"/>
      <x:c r="B4" s="83"/>
      <x:c r="C4" s="83"/>
      <x:c r="D4" s="83"/>
      <x:c r="E4" s="83"/>
      <x:c r="F4" s="83"/>
      <x:c r="G4" s="83"/>
      <x:c r="H4" s="83"/>
    </x:row>
    <x:row r="5" ht="22.5" customHeight="1">
      <x:c r="A5" s="84" t="str">
        <x:v>Total Planned Distance (km)</x:v>
      </x:c>
      <x:c r="B5" s="85" t="n">
        <x:f>SUM('90-Day Ledger'!$D$2:$D$91)</x:f>
        <x:v>583</x:v>
      </x:c>
      <x:c r="C5" s="83"/>
      <x:c r="D5" s="86" t="str">
        <x:v>Progress Bar</x:v>
      </x:c>
      <x:c r="E5" s="86"/>
      <x:c r="F5" s="132" t="str">
        <x:v>Today's Mission</x:v>
      </x:c>
      <x:c r="G5" s="132"/>
      <x:c r="H5" s="132"/>
      <x:c r="J5" s="135" t="str">
        <x:v>Workout Reference</x:v>
      </x:c>
      <x:c r="K5" s="135"/>
      <x:c r="L5" s="135"/>
    </x:row>
    <x:row r="6" ht="30" customHeight="1">
      <x:c r="A6" s="84" t="str">
        <x:v>Total Actual Distance (km)</x:v>
      </x:c>
      <x:c r="B6" s="85" t="n">
        <x:f>SUM('90-Day Ledger'!$E$2:$E$91)</x:f>
        <x:v>0</x:v>
      </x:c>
      <x:c r="C6" s="83"/>
      <x:c r="D6" s="73" t="str">
        <x:f>IF(B7="","",REPT("#",ROUND(B7*20,0))&amp;REPT(".",20-ROUND(B7*20,0)))</x:f>
      </x:c>
      <x:c r="E6" s="73"/>
      <x:c r="F6" s="113" t="str">
        <x:v>Today</x:v>
      </x:c>
      <x:c r="G6" s="103"/>
      <x:c r="H6" s="126" t="str">
        <x:f>TEXT(MAX(TODAY(),DATE(2026,6,8)),"yyyy-mm-dd")</x:f>
        <x:v>2026-06-08</x:v>
      </x:c>
      <x:c r="J6" s="115" t="str">
        <x:v>Phase 1</x:v>
      </x:c>
      <x:c r="K6" s="115"/>
      <x:c r="L6" s="136" t="str">
        <x:v>3 km daily. Weekly long walk: 5 km. 2 rounds.</x:v>
      </x:c>
    </x:row>
    <x:row r="7" ht="30" customHeight="1">
      <x:c r="A7" s="84" t="str">
        <x:v>Completion %</x:v>
      </x:c>
      <x:c r="B7" s="87" t="n">
        <x:f>IF(B5=0,"",B6/B5)</x:f>
        <x:v>0</x:v>
      </x:c>
      <x:c r="C7" s="83"/>
      <x:c r="D7" s="88" t="str">
        <x:f>IF(B7="","",TEXT(B7,"0%")&amp;" complete")</x:f>
      </x:c>
      <x:c r="E7" s="88"/>
      <x:c r="F7" s="114" t="str">
        <x:v>Phase</x:v>
      </x:c>
      <x:c r="G7" s="104"/>
      <x:c r="H7" s="127" t="str">
        <x:f>IFERROR(INDEX('90-Day Ledger'!$B$2:$B$91,MATCH(H6,'90-Day Ledger'!$A$2:$A$91,0)),"Not in program")</x:f>
        <x:v>Phase 1 - Baseline</x:v>
      </x:c>
      <x:c r="J7" s="115" t="str">
        <x:v>Phase 2</x:v>
      </x:c>
      <x:c r="K7" s="115"/>
      <x:c r="L7" s="136" t="str">
        <x:v>5 km daily. Weekly heavy walk: 10 km. 2 rounds.</x:v>
      </x:c>
    </x:row>
    <x:row r="8" ht="30" customHeight="1">
      <x:c r="A8" s="84" t="str">
        <x:v>Success Days</x:v>
      </x:c>
      <x:c r="B8" s="89" t="n">
        <x:f>COUNTIF('90-Day Ledger'!$G$2:$G$91,"SUCCESS")</x:f>
        <x:v>0</x:v>
      </x:c>
      <x:c r="C8" s="83"/>
      <x:c r="D8" s="90" t="str">
        <x:f>IF(B7="","",TEXT(B6,"0.0")&amp;" of "&amp;TEXT(B5,"0.0")&amp;" km logged")</x:f>
      </x:c>
      <x:c r="E8" s="90"/>
      <x:c r="F8" s="114" t="str">
        <x:v>Workout</x:v>
      </x:c>
      <x:c r="G8" s="105"/>
      <x:c r="H8" s="127" t="str">
        <x:f>IFERROR(INDEX('90-Day Ledger'!$C$2:$C$91,MATCH(H6,'90-Day Ledger'!$A$2:$A$91,0)),"")</x:f>
        <x:v>Daily Walk</x:v>
      </x:c>
      <x:c r="J8" s="115" t="str">
        <x:v>Phase 3</x:v>
      </x:c>
      <x:c r="K8" s="115"/>
      <x:c r="L8" s="136" t="str">
        <x:v>6 km daily with 5 kg pack. Weekly long walk: 12 km. 3 rounds.</x:v>
      </x:c>
    </x:row>
    <x:row r="9" ht="30" customHeight="1">
      <x:c r="A9" s="84" t="str">
        <x:v>Partial Success Days</x:v>
      </x:c>
      <x:c r="B9" s="89" t="n">
        <x:f>COUNTIF('90-Day Ledger'!$G$2:$G$91,"PARTIAL SUCCESS")</x:f>
        <x:v>0</x:v>
      </x:c>
      <x:c r="C9" s="83"/>
      <x:c r="D9" s="83"/>
      <x:c r="E9" s="83"/>
      <x:c r="F9" s="115" t="str">
        <x:v>Target km</x:v>
      </x:c>
      <x:c r="G9" s="106"/>
      <x:c r="H9" s="129" t="n">
        <x:f>IFERROR(INDEX('90-Day Ledger'!$D$2:$D$91,MATCH(H6,'90-Day Ledger'!$A$2:$A$91,0)),"")</x:f>
        <x:v>3</x:v>
      </x:c>
      <x:c r="J9" s="115" t="str">
        <x:v>Phase 4</x:v>
      </x:c>
      <x:c r="K9" s="115"/>
      <x:c r="L9" s="136" t="str">
        <x:v>8 km daily. Weekly long walk: 15 km. Peak: 21 km on Day 90. 3 rounds.</x:v>
      </x:c>
    </x:row>
    <x:row r="10" ht="21" customHeight="1">
      <x:c r="A10" s="84" t="str">
        <x:v>Failure Days</x:v>
      </x:c>
      <x:c r="B10" s="89" t="n">
        <x:f>COUNTIF('90-Day Ledger'!$G$2:$G$91,"FAILURE")</x:f>
        <x:v>0</x:v>
      </x:c>
      <x:c r="C10" s="83"/>
      <x:c r="D10" s="83"/>
      <x:c r="E10" s="83"/>
      <x:c r="F10" s="115" t="str">
        <x:v>Circuit</x:v>
      </x:c>
      <x:c r="G10" s="106"/>
      <x:c r="H10" s="128" t="str">
        <x:f>IFERROR(INDEX('90-Day Ledger'!$F$2:$F$91,MATCH(H6,'90-Day Ledger'!$A$2:$A$91,0)),"")</x:f>
        <x:v>N</x:v>
      </x:c>
    </x:row>
    <x:row r="11">
      <x:c r="A11" s="83"/>
      <x:c r="B11" s="83"/>
      <x:c r="C11" s="83"/>
      <x:c r="D11" s="83"/>
      <x:c r="E11" s="83"/>
      <x:c r="F11" s="115" t="str">
        <x:v>Status</x:v>
      </x:c>
      <x:c r="G11" s="106"/>
      <x:c r="H11" s="128" t="str">
        <x:f>IFERROR(INDEX('90-Day Ledger'!$G$2:$G$91,MATCH(H6,'90-Day Ledger'!$A$2:$A$91,0)),"")</x:f>
        <x:v>PENDING</x:v>
      </x:c>
    </x:row>
    <x:row r="12">
      <x:c r="A12" s="83"/>
      <x:c r="B12" s="83"/>
      <x:c r="C12" s="83"/>
      <x:c r="D12" s="83"/>
      <x:c r="E12" s="83"/>
      <x:c r="F12" s="83"/>
      <x:c r="G12" s="83"/>
      <x:c r="H12" s="83"/>
    </x:row>
    <x:row r="13">
      <x:c r="A13" s="91" t="str">
        <x:v>Phase</x:v>
      </x:c>
      <x:c r="B13" s="91" t="str">
        <x:v>Planned km</x:v>
      </x:c>
      <x:c r="C13" s="91" t="str">
        <x:v>Actual km</x:v>
      </x:c>
      <x:c r="D13" s="91" t="str">
        <x:v>Failure Count</x:v>
      </x:c>
      <x:c r="E13" s="91" t="str">
        <x:v>Alert</x:v>
      </x:c>
      <x:c r="F13" s="135" t="str">
        <x:v>Missionary Workout Program</x:v>
      </x:c>
      <x:c r="G13" s="135"/>
      <x:c r="H13" s="135"/>
    </x:row>
    <x:row r="14" ht="21" customHeight="1">
      <x:c r="A14" s="92" t="str">
        <x:v>Phase 1 - Baseline</x:v>
      </x:c>
      <x:c r="B14" s="119" t="n">
        <x:f>SUMIF('90-Day Ledger'!$B$2:$B$91,A14,'90-Day Ledger'!$D$2:$D$91)</x:f>
        <x:v>69</x:v>
      </x:c>
      <x:c r="C14" s="119" t="n">
        <x:f>SUMIF('90-Day Ledger'!$B$2:$B$91,A14,'90-Day Ledger'!$E$2:$E$91)</x:f>
        <x:v>0</x:v>
      </x:c>
      <x:c r="D14" s="119" t="n">
        <x:f>COUNTIFS('90-Day Ledger'!$B$2:$B$91,A14,'90-Day Ledger'!$G$2:$G$91,"FAILURE")</x:f>
        <x:v>0</x:v>
      </x:c>
      <x:c r="E14" s="119" t="str">
        <x:f>IF(D14&gt;3,"ALERT: SEND EMAIL","OK")</x:f>
        <x:v>OK</x:v>
      </x:c>
      <x:c r="F14" s="25" t="str">
        <x:v>1</x:v>
      </x:c>
      <x:c r="G14" s="137" t="str">
        <x:v>Warm up - 3 min</x:v>
      </x:c>
      <x:c r="H14" s="137"/>
    </x:row>
    <x:row r="15" ht="21" customHeight="1">
      <x:c r="A15" s="92" t="str">
        <x:v>Phase 2 - Stamina</x:v>
      </x:c>
      <x:c r="B15" s="119" t="n">
        <x:f>SUMIF('90-Day Ledger'!$B$2:$B$91,A15,'90-Day Ledger'!$D$2:$D$91)</x:f>
        <x:v>120</x:v>
      </x:c>
      <x:c r="C15" s="119" t="n">
        <x:f>SUMIF('90-Day Ledger'!$B$2:$B$91,A15,'90-Day Ledger'!$E$2:$E$91)</x:f>
        <x:v>0</x:v>
      </x:c>
      <x:c r="D15" s="119" t="n">
        <x:f>COUNTIFS('90-Day Ledger'!$B$2:$B$91,A15,'90-Day Ledger'!$G$2:$G$91,"FAILURE")</x:f>
        <x:v>0</x:v>
      </x:c>
      <x:c r="E15" s="119" t="str">
        <x:f>IF(D15&gt;3,"ALERT: SEND EMAIL","OK")</x:f>
        <x:v>OK</x:v>
      </x:c>
      <x:c r="F15" s="25" t="str">
        <x:v>2</x:v>
      </x:c>
      <x:c r="G15" s="137" t="str">
        <x:v>Bodyweight circuit - 12 min</x:v>
      </x:c>
      <x:c r="H15" s="137"/>
    </x:row>
    <x:row r="16" ht="21" customHeight="1">
      <x:c r="A16" s="92" t="str">
        <x:v>Phase 3 - Load Bearing</x:v>
      </x:c>
      <x:c r="B16" s="119" t="n">
        <x:f>SUMIF('90-Day Ledger'!$B$2:$B$91,A16,'90-Day Ledger'!$D$2:$D$91)</x:f>
        <x:v>144</x:v>
      </x:c>
      <x:c r="C16" s="119" t="n">
        <x:f>SUMIF('90-Day Ledger'!$B$2:$B$91,A16,'90-Day Ledger'!$E$2:$E$91)</x:f>
        <x:v>0</x:v>
      </x:c>
      <x:c r="D16" s="119" t="n">
        <x:f>COUNTIFS('90-Day Ledger'!$B$2:$B$91,A16,'90-Day Ledger'!$G$2:$G$91,"FAILURE")</x:f>
        <x:v>0</x:v>
      </x:c>
      <x:c r="E16" s="119" t="str">
        <x:f>IF(D16&gt;3,"ALERT: SEND EMAIL","OK")</x:f>
        <x:v>OK</x:v>
      </x:c>
      <x:c r="F16" s="25" t="str">
        <x:v>3</x:v>
      </x:c>
      <x:c r="G16" s="137" t="str">
        <x:v>Cool down - 2 min</x:v>
      </x:c>
      <x:c r="H16" s="137"/>
    </x:row>
    <x:row r="17" ht="25.5" customHeight="1">
      <x:c r="A17" s="92" t="str">
        <x:v>Phase 4 - Mission Match</x:v>
      </x:c>
      <x:c r="B17" s="119" t="n">
        <x:f>SUMIF('90-Day Ledger'!$B$2:$B$91,A17,'90-Day Ledger'!$D$2:$D$91)</x:f>
        <x:v>250</x:v>
      </x:c>
      <x:c r="C17" s="119" t="n">
        <x:f>SUMIF('90-Day Ledger'!$B$2:$B$91,A17,'90-Day Ledger'!$E$2:$E$91)</x:f>
        <x:v>0</x:v>
      </x:c>
      <x:c r="D17" s="119" t="n">
        <x:f>COUNTIFS('90-Day Ledger'!$B$2:$B$91,A17,'90-Day Ledger'!$G$2:$G$91,"FAILURE")</x:f>
        <x:v>0</x:v>
      </x:c>
      <x:c r="E17" s="119" t="str">
        <x:f>IF(D17&gt;3,"ALERT: SEND EMAIL","OK")</x:f>
        <x:v>OK</x:v>
      </x:c>
      <x:c r="F17" s="139" t="str">
        <x:v>Rounds: 2 in Phases 1-2. 3 in Phases 3-4. Keep the morning workout under 30 minutes.</x:v>
      </x:c>
      <x:c r="G17" s="139"/>
      <x:c r="H17" s="139"/>
    </x:row>
    <x:row r="18">
      <x:c r="A18" s="143" t="str">
        <x:v>Accountability Emails</x:v>
      </x:c>
      <x:c r="B18" s="143" t="str">
        <x:v>jasonsant69@gmail.com</x:v>
      </x:c>
      <x:c r="C18" s="143" t="str">
        <x:v>zengink052@gmail.com</x:v>
      </x:c>
      <x:c r="D18" s="143" t="str"/>
      <x:c r="E18" s="143" t="str"/>
      <x:c r="F18" s="83"/>
      <x:c r="G18" s="83"/>
      <x:c r="H18" s="83"/>
    </x:row>
    <x:row r="19">
      <x:c r="A19" s="83"/>
      <x:c r="B19" s="83"/>
      <x:c r="C19" s="83"/>
      <x:c r="D19" s="83"/>
      <x:c r="E19" s="83"/>
      <x:c r="F19" s="83"/>
      <x:c r="G19" s="83"/>
      <x:c r="H19" s="83"/>
    </x:row>
    <x:row r="20">
      <x:c r="A20" s="95" t="str">
        <x:v>Weekly Loss Target</x:v>
      </x:c>
      <x:c r="B20" s="96" t="str">
        <x:v>2 lb/week</x:v>
      </x:c>
      <x:c r="C20" s="83" t="str"/>
      <x:c r="D20" s="83" t="str"/>
      <x:c r="E20" s="83" t="str"/>
      <x:c r="F20" s="83"/>
      <x:c r="G20" s="83"/>
      <x:c r="H20" s="83"/>
    </x:row>
    <x:row r="21">
      <x:c r="A21" s="95" t="str">
        <x:v>Operational Note</x:v>
      </x:c>
      <x:c r="B21" s="96" t="str">
        <x:v>This sheet supports the target by scaling walking volume. Actual fat loss still depends heavily on nutrition, sleep, and recovery.</x:v>
      </x:c>
      <x:c r="C21" s="83" t="str"/>
      <x:c r="D21" s="83" t="str"/>
      <x:c r="E21" s="83" t="str"/>
      <x:c r="F21" s="83"/>
      <x:c r="G21" s="83"/>
      <x:c r="H21" s="83"/>
    </x:row>
    <x:row r="22">
      <x:c r="A22" s="95" t="str">
        <x:v>Alert Rule</x:v>
      </x:c>
      <x:c r="B22" s="96" t="str">
        <x:v>If any 3-week phase exceeds 3 FAILURE days, flag the accountability emails above.</x:v>
      </x:c>
      <x:c r="C22" s="83" t="str"/>
      <x:c r="D22" s="83" t="str"/>
      <x:c r="E22" s="83" t="str"/>
      <x:c r="F22" s="83"/>
      <x:c r="G22" s="83"/>
      <x:c r="H22" s="83"/>
    </x:row>
    <x:row r="23">
      <x:c r="A23" s="95" t="str">
        <x:v>Daily Rule</x:v>
      </x:c>
      <x:c r="B23" s="96" t="str">
        <x:v>Walking happens every day. One day each week is a long walk.</x:v>
      </x:c>
      <x:c r="C23" s="83" t="str"/>
      <x:c r="D23" s="83" t="str"/>
      <x:c r="E23" s="83" t="str"/>
      <x:c r="F23" s="83"/>
      <x:c r="G23" s="83"/>
      <x:c r="H23" s="83"/>
    </x:row>
    <x:row r="24">
      <x:c r="A24" s="95" t="str">
        <x:v>Workout Rule</x:v>
      </x:c>
      <x:c r="B24" s="96" t="str">
        <x:v>Total success requires both target distance and circuit completion; partial success is one of the two completed.</x:v>
      </x:c>
      <x:c r="C24" s="83" t="str"/>
      <x:c r="D24" s="83" t="str"/>
      <x:c r="E24" s="83" t="str"/>
      <x:c r="F24" s="83"/>
      <x:c r="G24" s="83"/>
      <x:c r="H24" s="83"/>
    </x:row>
  </x:sheetData>
  <x:mergeCells>
    <x:mergeCell ref="A1:H2"/>
    <x:mergeCell ref="A3:H3"/>
    <x:mergeCell ref="D5:H5"/>
    <x:mergeCell ref="D6:H6"/>
    <x:mergeCell ref="D7:H7"/>
    <x:mergeCell ref="D8:H8"/>
    <x:mergeCell ref="F5:H5"/>
    <x:mergeCell ref="F6:G6"/>
    <x:mergeCell ref="F7:G7"/>
    <x:mergeCell ref="F8:G8"/>
    <x:mergeCell ref="F9:G9"/>
    <x:mergeCell ref="F10:G10"/>
    <x:mergeCell ref="F11:G11"/>
    <x:mergeCell ref="F13:H13"/>
    <x:mergeCell ref="G14:H14"/>
    <x:mergeCell ref="G15:H15"/>
    <x:mergeCell ref="G16:H16"/>
    <x:mergeCell ref="F17:H17"/>
    <x:mergeCell ref="J5:L5"/>
    <x:mergeCell ref="J6:K6"/>
    <x:mergeCell ref="J7:K7"/>
    <x:mergeCell ref="J8:K8"/>
    <x:mergeCell ref="J9:K9"/>
  </x:mergeCells>
  <x:pageMargins left="0.7" right="0.7" top="0.75" bottom="0.75" header="0.3" footer="0.3"/>
  <x:drawing xmlns:r="http://schemas.openxmlformats.org/officeDocument/2006/relationships" r:id="Rf831e6f1190c4e79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/>
  </x:sheetViews>
  <x:sheetFormatPr defaultRowHeight="15"/>
  <x:cols>
    <x:col min="1" max="1" width="14.380000114440918" hidden="0" customWidth="1"/>
    <x:col min="2" max="2" width="20" hidden="0" customWidth="1"/>
    <x:col min="3" max="3" width="21.25" hidden="0" customWidth="1"/>
    <x:col min="4" max="4" width="12.5" hidden="0" customWidth="1"/>
    <x:col min="5" max="5" width="11.880000114440918" hidden="0" customWidth="1"/>
    <x:col min="6" max="6" width="14.380000114440918" hidden="0" customWidth="1"/>
    <x:col min="7" max="7" width="15.630000114440918" hidden="0" customWidth="1"/>
    <x:col min="8" max="8" width="14.380000114440918" hidden="0" customWidth="1"/>
  </x:cols>
  <x:sheetData>
    <x:row r="1" ht="27" customHeight="1">
      <x:c r="A1" s="6" t="str">
        <x:v>Date</x:v>
      </x:c>
      <x:c r="B1" s="6" t="str">
        <x:v>Phase</x:v>
      </x:c>
      <x:c r="C1" s="6" t="str">
        <x:v>Workout Type</x:v>
      </x:c>
      <x:c r="D1" s="6" t="str">
        <x:v>Target km</x:v>
      </x:c>
      <x:c r="E1" s="6" t="str">
        <x:v>Walk km</x:v>
      </x:c>
      <x:c r="F1" s="6" t="str">
        <x:v>Circuit Y/N</x:v>
      </x:c>
      <x:c r="G1" s="6" t="str">
        <x:v>Status</x:v>
      </x:c>
      <x:c r="H1" s="6" t="str">
        <x:v>Workout Link</x:v>
      </x:c>
      <x:c r="J1" s="60" t="str">
        <x:v>Week</x:v>
      </x:c>
      <x:c r="K1" s="60" t="str">
        <x:v>Planned Cumulative</x:v>
      </x:c>
      <x:c r="L1" s="60" t="str">
        <x:v>Actual Cumulative</x:v>
      </x:c>
      <x:c r="N1" s="60" t="str">
        <x:v>Status</x:v>
      </x:c>
      <x:c r="O1" s="60" t="str">
        <x:v>Count</x:v>
      </x:c>
    </x:row>
    <x:row r="2">
      <x:c r="A2" s="18" t="str">
        <x:v>2026-06-08</x:v>
      </x:c>
      <x:c r="B2" s="19" t="str">
        <x:v>Phase 1 - Baseline</x:v>
      </x:c>
      <x:c r="C2" s="13" t="str">
        <x:v>Daily Walk</x:v>
      </x:c>
      <x:c r="D2" s="20" t="n">
        <x:v>3</x:v>
      </x:c>
      <x:c r="E2" s="26" t="n">
        <x:v>0</x:v>
      </x:c>
      <x:c r="F2" s="27" t="str">
        <x:v>N</x:v>
      </x:c>
      <x:c r="G2" s="28" t="str">
        <x:f>IF(AND(E2=0,UPPER(F2)="N"),"PENDING",IF(AND(E2&gt;=D2,UPPER(F2)="Y"),"SUCCESS",IF(OR(E2&gt;=D2,UPPER(F2)="Y"),"PARTIAL SUCCESS","FAILURE")))</x:f>
        <x:v>PENDING</x:v>
      </x:c>
      <x:c r="H2" s="17" t="str">
        <x:v>Open workout</x:v>
      </x:c>
      <x:c r="J2" s="152" t="str">
        <x:v>Week 1</x:v>
      </x:c>
      <x:c r="K2" s="153" t="n">
        <x:f>SUM('90-Day Ledger'!$D$2:$D$8)</x:f>
        <x:v>23</x:v>
      </x:c>
      <x:c r="L2" s="153" t="n">
        <x:f>SUM('90-Day Ledger'!$E$2:$E$8)</x:f>
        <x:v>0</x:v>
      </x:c>
      <x:c r="N2" s="152" t="str">
        <x:v>SUCCESS</x:v>
      </x:c>
      <x:c r="O2" s="153" t="n">
        <x:f>COUNTIF('90-Day Ledger'!$G$2:$G$91,"SUCCESS")</x:f>
        <x:v>0</x:v>
      </x:c>
    </x:row>
    <x:row r="3">
      <x:c r="A3" s="18" t="str">
        <x:v>2026-06-09</x:v>
      </x:c>
      <x:c r="B3" s="19" t="str">
        <x:v>Phase 1 - Baseline</x:v>
      </x:c>
      <x:c r="C3" s="13" t="str">
        <x:v>Daily Walk</x:v>
      </x:c>
      <x:c r="D3" s="20" t="n">
        <x:v>3</x:v>
      </x:c>
      <x:c r="E3" s="26" t="n">
        <x:v>0</x:v>
      </x:c>
      <x:c r="F3" s="27" t="str">
        <x:v>N</x:v>
      </x:c>
      <x:c r="G3" s="28" t="str">
        <x:f>IF(AND(E3=0,UPPER(F3)="N"),"PENDING",IF(AND(E3&gt;=D3,UPPER(F3)="Y"),"SUCCESS",IF(OR(E3&gt;=D3,UPPER(F3)="Y"),"PARTIAL SUCCESS","FAILURE")))</x:f>
        <x:v>PENDING</x:v>
      </x:c>
      <x:c r="H3" s="17" t="str">
        <x:v>Open workout</x:v>
      </x:c>
      <x:c r="J3" s="152" t="str">
        <x:v>Week 2</x:v>
      </x:c>
      <x:c r="K3" s="153" t="n">
        <x:f>SUM('90-Day Ledger'!$D$2:$D$15)</x:f>
        <x:v>46</x:v>
      </x:c>
      <x:c r="L3" s="153" t="n">
        <x:f>SUM('90-Day Ledger'!$E$2:$E$15)</x:f>
        <x:v>0</x:v>
      </x:c>
      <x:c r="N3" s="152" t="str">
        <x:v>PARTIAL SUCCESS</x:v>
      </x:c>
      <x:c r="O3" s="153" t="n">
        <x:f>COUNTIF('90-Day Ledger'!$G$2:$G$91,"PARTIAL SUCCESS")</x:f>
        <x:v>0</x:v>
      </x:c>
    </x:row>
    <x:row r="4">
      <x:c r="A4" s="18" t="str">
        <x:v>2026-06-10</x:v>
      </x:c>
      <x:c r="B4" s="19" t="str">
        <x:v>Phase 1 - Baseline</x:v>
      </x:c>
      <x:c r="C4" s="13" t="str">
        <x:v>Daily Walk</x:v>
      </x:c>
      <x:c r="D4" s="20" t="n">
        <x:v>3</x:v>
      </x:c>
      <x:c r="E4" s="26" t="n">
        <x:v>0</x:v>
      </x:c>
      <x:c r="F4" s="27" t="str">
        <x:v>N</x:v>
      </x:c>
      <x:c r="G4" s="28" t="str">
        <x:f>IF(AND(E4=0,UPPER(F4)="N"),"PENDING",IF(AND(E4&gt;=D4,UPPER(F4)="Y"),"SUCCESS",IF(OR(E4&gt;=D4,UPPER(F4)="Y"),"PARTIAL SUCCESS","FAILURE")))</x:f>
        <x:v>PENDING</x:v>
      </x:c>
      <x:c r="H4" s="17" t="str">
        <x:v>Open workout</x:v>
      </x:c>
      <x:c r="J4" s="152" t="str">
        <x:v>Week 3</x:v>
      </x:c>
      <x:c r="K4" s="153" t="n">
        <x:f>SUM('90-Day Ledger'!$D$2:$D$22)</x:f>
        <x:v>69</x:v>
      </x:c>
      <x:c r="L4" s="153" t="n">
        <x:f>SUM('90-Day Ledger'!$E$2:$E$22)</x:f>
        <x:v>0</x:v>
      </x:c>
      <x:c r="N4" s="152" t="str">
        <x:v>FAILURE</x:v>
      </x:c>
      <x:c r="O4" s="153" t="n">
        <x:f>COUNTIF('90-Day Ledger'!$G$2:$G$91,"FAILURE")</x:f>
        <x:v>0</x:v>
      </x:c>
    </x:row>
    <x:row r="5">
      <x:c r="A5" s="18" t="str">
        <x:v>2026-06-11</x:v>
      </x:c>
      <x:c r="B5" s="19" t="str">
        <x:v>Phase 1 - Baseline</x:v>
      </x:c>
      <x:c r="C5" s="13" t="str">
        <x:v>Daily Walk</x:v>
      </x:c>
      <x:c r="D5" s="20" t="n">
        <x:v>3</x:v>
      </x:c>
      <x:c r="E5" s="26" t="n">
        <x:v>0</x:v>
      </x:c>
      <x:c r="F5" s="27" t="str">
        <x:v>N</x:v>
      </x:c>
      <x:c r="G5" s="28" t="str">
        <x:f>IF(AND(E5=0,UPPER(F5)="N"),"PENDING",IF(AND(E5&gt;=D5,UPPER(F5)="Y"),"SUCCESS",IF(OR(E5&gt;=D5,UPPER(F5)="Y"),"PARTIAL SUCCESS","FAILURE")))</x:f>
        <x:v>PENDING</x:v>
      </x:c>
      <x:c r="H5" s="17" t="str">
        <x:v>Open workout</x:v>
      </x:c>
      <x:c r="J5" s="152" t="str">
        <x:v>Week 4</x:v>
      </x:c>
      <x:c r="K5" s="153" t="n">
        <x:f>SUM('90-Day Ledger'!$D$2:$D$29)</x:f>
        <x:v>109</x:v>
      </x:c>
      <x:c r="L5" s="153" t="n">
        <x:f>SUM('90-Day Ledger'!$E$2:$E$29)</x:f>
        <x:v>0</x:v>
      </x:c>
      <x:c r="N5" s="152" t="str">
        <x:v>PENDING</x:v>
      </x:c>
      <x:c r="O5" s="153" t="n">
        <x:f>COUNTIF('90-Day Ledger'!$G$2:$G$91,"PENDING")</x:f>
        <x:v>90</x:v>
      </x:c>
    </x:row>
    <x:row r="6">
      <x:c r="A6" s="18" t="str">
        <x:v>2026-06-12</x:v>
      </x:c>
      <x:c r="B6" s="19" t="str">
        <x:v>Phase 1 - Baseline</x:v>
      </x:c>
      <x:c r="C6" s="13" t="str">
        <x:v>Daily Walk</x:v>
      </x:c>
      <x:c r="D6" s="20" t="n">
        <x:v>3</x:v>
      </x:c>
      <x:c r="E6" s="26" t="n">
        <x:v>0</x:v>
      </x:c>
      <x:c r="F6" s="27" t="str">
        <x:v>N</x:v>
      </x:c>
      <x:c r="G6" s="28" t="str">
        <x:f>IF(AND(E6=0,UPPER(F6)="N"),"PENDING",IF(AND(E6&gt;=D6,UPPER(F6)="Y"),"SUCCESS",IF(OR(E6&gt;=D6,UPPER(F6)="Y"),"PARTIAL SUCCESS","FAILURE")))</x:f>
        <x:v>PENDING</x:v>
      </x:c>
      <x:c r="H6" s="17" t="str">
        <x:v>Open workout</x:v>
      </x:c>
      <x:c r="J6" s="152" t="str">
        <x:v>Week 5</x:v>
      </x:c>
      <x:c r="K6" s="153" t="n">
        <x:f>SUM('90-Day Ledger'!$D$2:$D$36)</x:f>
        <x:v>149</x:v>
      </x:c>
      <x:c r="L6" s="153" t="n">
        <x:f>SUM('90-Day Ledger'!$E$2:$E$36)</x:f>
        <x:v>0</x:v>
      </x:c>
    </x:row>
    <x:row r="7">
      <x:c r="A7" s="18" t="str">
        <x:v>2026-06-13</x:v>
      </x:c>
      <x:c r="B7" s="19" t="str">
        <x:v>Phase 1 - Baseline</x:v>
      </x:c>
      <x:c r="C7" s="13" t="str">
        <x:v>Daily Walk</x:v>
      </x:c>
      <x:c r="D7" s="20" t="n">
        <x:v>3</x:v>
      </x:c>
      <x:c r="E7" s="26" t="n">
        <x:v>0</x:v>
      </x:c>
      <x:c r="F7" s="27" t="str">
        <x:v>N</x:v>
      </x:c>
      <x:c r="G7" s="28" t="str">
        <x:f>IF(AND(E7=0,UPPER(F7)="N"),"PENDING",IF(AND(E7&gt;=D7,UPPER(F7)="Y"),"SUCCESS",IF(OR(E7&gt;=D7,UPPER(F7)="Y"),"PARTIAL SUCCESS","FAILURE")))</x:f>
        <x:v>PENDING</x:v>
      </x:c>
      <x:c r="H7" s="17" t="str">
        <x:v>Open workout</x:v>
      </x:c>
      <x:c r="J7" s="152" t="str">
        <x:v>Week 6</x:v>
      </x:c>
      <x:c r="K7" s="153" t="n">
        <x:f>SUM('90-Day Ledger'!$D$2:$D$43)</x:f>
        <x:v>189</x:v>
      </x:c>
      <x:c r="L7" s="153" t="n">
        <x:f>SUM('90-Day Ledger'!$E$2:$E$43)</x:f>
        <x:v>0</x:v>
      </x:c>
    </x:row>
    <x:row r="8">
      <x:c r="A8" s="18" t="str">
        <x:v>2026-06-14</x:v>
      </x:c>
      <x:c r="B8" s="19" t="str">
        <x:v>Phase 1 - Baseline</x:v>
      </x:c>
      <x:c r="C8" s="13" t="str">
        <x:v>Weekly Long Walk</x:v>
      </x:c>
      <x:c r="D8" s="20" t="n">
        <x:v>5</x:v>
      </x:c>
      <x:c r="E8" s="26" t="n">
        <x:v>0</x:v>
      </x:c>
      <x:c r="F8" s="27" t="str">
        <x:v>N</x:v>
      </x:c>
      <x:c r="G8" s="28" t="str">
        <x:f>IF(AND(E8=0,UPPER(F8)="N"),"PENDING",IF(AND(E8&gt;=D8,UPPER(F8)="Y"),"SUCCESS",IF(OR(E8&gt;=D8,UPPER(F8)="Y"),"PARTIAL SUCCESS","FAILURE")))</x:f>
        <x:v>PENDING</x:v>
      </x:c>
      <x:c r="H8" s="17" t="str">
        <x:v>Open workout</x:v>
      </x:c>
      <x:c r="J8" s="152" t="str">
        <x:v>Week 7</x:v>
      </x:c>
      <x:c r="K8" s="153" t="n">
        <x:f>SUM('90-Day Ledger'!$D$2:$D$50)</x:f>
        <x:v>237</x:v>
      </x:c>
      <x:c r="L8" s="153" t="n">
        <x:f>SUM('90-Day Ledger'!$E$2:$E$50)</x:f>
        <x:v>0</x:v>
      </x:c>
    </x:row>
    <x:row r="9">
      <x:c r="A9" s="18" t="str">
        <x:v>2026-06-15</x:v>
      </x:c>
      <x:c r="B9" s="19" t="str">
        <x:v>Phase 1 - Baseline</x:v>
      </x:c>
      <x:c r="C9" s="13" t="str">
        <x:v>Daily Walk</x:v>
      </x:c>
      <x:c r="D9" s="20" t="n">
        <x:v>3</x:v>
      </x:c>
      <x:c r="E9" s="26" t="n">
        <x:v>0</x:v>
      </x:c>
      <x:c r="F9" s="27" t="str">
        <x:v>N</x:v>
      </x:c>
      <x:c r="G9" s="28" t="str">
        <x:f>IF(AND(E9=0,UPPER(F9)="N"),"PENDING",IF(AND(E9&gt;=D9,UPPER(F9)="Y"),"SUCCESS",IF(OR(E9&gt;=D9,UPPER(F9)="Y"),"PARTIAL SUCCESS","FAILURE")))</x:f>
        <x:v>PENDING</x:v>
      </x:c>
      <x:c r="H9" s="17" t="str">
        <x:v>Open workout</x:v>
      </x:c>
      <x:c r="J9" s="152" t="str">
        <x:v>Week 8</x:v>
      </x:c>
      <x:c r="K9" s="153" t="n">
        <x:f>SUM('90-Day Ledger'!$D$2:$D$57)</x:f>
        <x:v>285</x:v>
      </x:c>
      <x:c r="L9" s="153" t="n">
        <x:f>SUM('90-Day Ledger'!$E$2:$E$57)</x:f>
        <x:v>0</x:v>
      </x:c>
    </x:row>
    <x:row r="10">
      <x:c r="A10" s="18" t="str">
        <x:v>2026-06-16</x:v>
      </x:c>
      <x:c r="B10" s="19" t="str">
        <x:v>Phase 1 - Baseline</x:v>
      </x:c>
      <x:c r="C10" s="13" t="str">
        <x:v>Daily Walk</x:v>
      </x:c>
      <x:c r="D10" s="20" t="n">
        <x:v>3</x:v>
      </x:c>
      <x:c r="E10" s="26" t="n">
        <x:v>0</x:v>
      </x:c>
      <x:c r="F10" s="27" t="str">
        <x:v>N</x:v>
      </x:c>
      <x:c r="G10" s="28" t="str">
        <x:f>IF(AND(E10=0,UPPER(F10)="N"),"PENDING",IF(AND(E10&gt;=D10,UPPER(F10)="Y"),"SUCCESS",IF(OR(E10&gt;=D10,UPPER(F10)="Y"),"PARTIAL SUCCESS","FAILURE")))</x:f>
        <x:v>PENDING</x:v>
      </x:c>
      <x:c r="H10" s="17" t="str">
        <x:v>Open workout</x:v>
      </x:c>
      <x:c r="J10" s="152" t="str">
        <x:v>Week 9</x:v>
      </x:c>
      <x:c r="K10" s="153" t="n">
        <x:f>SUM('90-Day Ledger'!$D$2:$D$64)</x:f>
        <x:v>333</x:v>
      </x:c>
      <x:c r="L10" s="153" t="n">
        <x:f>SUM('90-Day Ledger'!$E$2:$E$64)</x:f>
        <x:v>0</x:v>
      </x:c>
    </x:row>
    <x:row r="11">
      <x:c r="A11" s="18" t="str">
        <x:v>2026-06-17</x:v>
      </x:c>
      <x:c r="B11" s="19" t="str">
        <x:v>Phase 1 - Baseline</x:v>
      </x:c>
      <x:c r="C11" s="13" t="str">
        <x:v>Daily Walk</x:v>
      </x:c>
      <x:c r="D11" s="20" t="n">
        <x:v>3</x:v>
      </x:c>
      <x:c r="E11" s="26" t="n">
        <x:v>0</x:v>
      </x:c>
      <x:c r="F11" s="27" t="str">
        <x:v>N</x:v>
      </x:c>
      <x:c r="G11" s="28" t="str">
        <x:f>IF(AND(E11=0,UPPER(F11)="N"),"PENDING",IF(AND(E11&gt;=D11,UPPER(F11)="Y"),"SUCCESS",IF(OR(E11&gt;=D11,UPPER(F11)="Y"),"PARTIAL SUCCESS","FAILURE")))</x:f>
        <x:v>PENDING</x:v>
      </x:c>
      <x:c r="H11" s="17" t="str">
        <x:v>Open workout</x:v>
      </x:c>
      <x:c r="J11" s="152" t="str">
        <x:v>Week 10</x:v>
      </x:c>
      <x:c r="K11" s="153" t="n">
        <x:f>SUM('90-Day Ledger'!$D$2:$D$71)</x:f>
        <x:v>396</x:v>
      </x:c>
      <x:c r="L11" s="153" t="n">
        <x:f>SUM('90-Day Ledger'!$E$2:$E$71)</x:f>
        <x:v>0</x:v>
      </x:c>
    </x:row>
    <x:row r="12">
      <x:c r="A12" s="18" t="str">
        <x:v>2026-06-18</x:v>
      </x:c>
      <x:c r="B12" s="19" t="str">
        <x:v>Phase 1 - Baseline</x:v>
      </x:c>
      <x:c r="C12" s="13" t="str">
        <x:v>Daily Walk</x:v>
      </x:c>
      <x:c r="D12" s="20" t="n">
        <x:v>3</x:v>
      </x:c>
      <x:c r="E12" s="26" t="n">
        <x:v>0</x:v>
      </x:c>
      <x:c r="F12" s="27" t="str">
        <x:v>N</x:v>
      </x:c>
      <x:c r="G12" s="28" t="str">
        <x:f>IF(AND(E12=0,UPPER(F12)="N"),"PENDING",IF(AND(E12&gt;=D12,UPPER(F12)="Y"),"SUCCESS",IF(OR(E12&gt;=D12,UPPER(F12)="Y"),"PARTIAL SUCCESS","FAILURE")))</x:f>
        <x:v>PENDING</x:v>
      </x:c>
      <x:c r="H12" s="17" t="str">
        <x:v>Open workout</x:v>
      </x:c>
      <x:c r="J12" s="152" t="str">
        <x:v>Week 11</x:v>
      </x:c>
      <x:c r="K12" s="153" t="n">
        <x:f>SUM('90-Day Ledger'!$D$2:$D$78)</x:f>
        <x:v>459</x:v>
      </x:c>
      <x:c r="L12" s="153" t="n">
        <x:f>SUM('90-Day Ledger'!$E$2:$E$78)</x:f>
        <x:v>0</x:v>
      </x:c>
    </x:row>
    <x:row r="13">
      <x:c r="A13" s="18" t="str">
        <x:v>2026-06-19</x:v>
      </x:c>
      <x:c r="B13" s="19" t="str">
        <x:v>Phase 1 - Baseline</x:v>
      </x:c>
      <x:c r="C13" s="13" t="str">
        <x:v>Daily Walk</x:v>
      </x:c>
      <x:c r="D13" s="20" t="n">
        <x:v>3</x:v>
      </x:c>
      <x:c r="E13" s="26" t="n">
        <x:v>0</x:v>
      </x:c>
      <x:c r="F13" s="27" t="str">
        <x:v>N</x:v>
      </x:c>
      <x:c r="G13" s="28" t="str">
        <x:f>IF(AND(E13=0,UPPER(F13)="N"),"PENDING",IF(AND(E13&gt;=D13,UPPER(F13)="Y"),"SUCCESS",IF(OR(E13&gt;=D13,UPPER(F13)="Y"),"PARTIAL SUCCESS","FAILURE")))</x:f>
        <x:v>PENDING</x:v>
      </x:c>
      <x:c r="H13" s="17" t="str">
        <x:v>Open workout</x:v>
      </x:c>
      <x:c r="J13" s="152" t="str">
        <x:v>Week 12</x:v>
      </x:c>
      <x:c r="K13" s="153" t="n">
        <x:f>SUM('90-Day Ledger'!$D$2:$D$85)</x:f>
        <x:v>522</x:v>
      </x:c>
      <x:c r="L13" s="153" t="n">
        <x:f>SUM('90-Day Ledger'!$E$2:$E$85)</x:f>
        <x:v>0</x:v>
      </x:c>
    </x:row>
    <x:row r="14">
      <x:c r="A14" s="18" t="str">
        <x:v>2026-06-20</x:v>
      </x:c>
      <x:c r="B14" s="19" t="str">
        <x:v>Phase 1 - Baseline</x:v>
      </x:c>
      <x:c r="C14" s="13" t="str">
        <x:v>Daily Walk</x:v>
      </x:c>
      <x:c r="D14" s="20" t="n">
        <x:v>3</x:v>
      </x:c>
      <x:c r="E14" s="26" t="n">
        <x:v>0</x:v>
      </x:c>
      <x:c r="F14" s="27" t="str">
        <x:v>N</x:v>
      </x:c>
      <x:c r="G14" s="28" t="str">
        <x:f>IF(AND(E14=0,UPPER(F14)="N"),"PENDING",IF(AND(E14&gt;=D14,UPPER(F14)="Y"),"SUCCESS",IF(OR(E14&gt;=D14,UPPER(F14)="Y"),"PARTIAL SUCCESS","FAILURE")))</x:f>
        <x:v>PENDING</x:v>
      </x:c>
      <x:c r="H14" s="17" t="str">
        <x:v>Open workout</x:v>
      </x:c>
      <x:c r="J14" s="152" t="str">
        <x:v>Week 13</x:v>
      </x:c>
      <x:c r="K14" s="153" t="n">
        <x:f>SUM('90-Day Ledger'!$D$2:$D$91)</x:f>
        <x:v>583</x:v>
      </x:c>
      <x:c r="L14" s="153" t="n">
        <x:f>SUM('90-Day Ledger'!$E$2:$E$91)</x:f>
        <x:v>0</x:v>
      </x:c>
    </x:row>
    <x:row r="15">
      <x:c r="A15" s="18" t="str">
        <x:v>2026-06-21</x:v>
      </x:c>
      <x:c r="B15" s="19" t="str">
        <x:v>Phase 1 - Baseline</x:v>
      </x:c>
      <x:c r="C15" s="13" t="str">
        <x:v>Weekly Long Walk</x:v>
      </x:c>
      <x:c r="D15" s="20" t="n">
        <x:v>5</x:v>
      </x:c>
      <x:c r="E15" s="26" t="n">
        <x:v>0</x:v>
      </x:c>
      <x:c r="F15" s="27" t="str">
        <x:v>N</x:v>
      </x:c>
      <x:c r="G15" s="28" t="str">
        <x:f>IF(AND(E15=0,UPPER(F15)="N"),"PENDING",IF(AND(E15&gt;=D15,UPPER(F15)="Y"),"SUCCESS",IF(OR(E15&gt;=D15,UPPER(F15)="Y"),"PARTIAL SUCCESS","FAILURE")))</x:f>
        <x:v>PENDING</x:v>
      </x:c>
      <x:c r="H15" s="17" t="str">
        <x:v>Open workout</x:v>
      </x:c>
    </x:row>
    <x:row r="16">
      <x:c r="A16" s="18" t="str">
        <x:v>2026-06-22</x:v>
      </x:c>
      <x:c r="B16" s="19" t="str">
        <x:v>Phase 1 - Baseline</x:v>
      </x:c>
      <x:c r="C16" s="13" t="str">
        <x:v>Daily Walk</x:v>
      </x:c>
      <x:c r="D16" s="20" t="n">
        <x:v>3</x:v>
      </x:c>
      <x:c r="E16" s="26" t="n">
        <x:v>0</x:v>
      </x:c>
      <x:c r="F16" s="27" t="str">
        <x:v>N</x:v>
      </x:c>
      <x:c r="G16" s="28" t="str">
        <x:f>IF(AND(E16=0,UPPER(F16)="N"),"PENDING",IF(AND(E16&gt;=D16,UPPER(F16)="Y"),"SUCCESS",IF(OR(E16&gt;=D16,UPPER(F16)="Y"),"PARTIAL SUCCESS","FAILURE")))</x:f>
        <x:v>PENDING</x:v>
      </x:c>
      <x:c r="H16" s="17" t="str">
        <x:v>Open workout</x:v>
      </x:c>
    </x:row>
    <x:row r="17">
      <x:c r="A17" s="18" t="str">
        <x:v>2026-06-23</x:v>
      </x:c>
      <x:c r="B17" s="19" t="str">
        <x:v>Phase 1 - Baseline</x:v>
      </x:c>
      <x:c r="C17" s="13" t="str">
        <x:v>Daily Walk</x:v>
      </x:c>
      <x:c r="D17" s="20" t="n">
        <x:v>3</x:v>
      </x:c>
      <x:c r="E17" s="26" t="n">
        <x:v>0</x:v>
      </x:c>
      <x:c r="F17" s="27" t="str">
        <x:v>N</x:v>
      </x:c>
      <x:c r="G17" s="28" t="str">
        <x:f>IF(AND(E17=0,UPPER(F17)="N"),"PENDING",IF(AND(E17&gt;=D17,UPPER(F17)="Y"),"SUCCESS",IF(OR(E17&gt;=D17,UPPER(F17)="Y"),"PARTIAL SUCCESS","FAILURE")))</x:f>
        <x:v>PENDING</x:v>
      </x:c>
      <x:c r="H17" s="17" t="str">
        <x:v>Open workout</x:v>
      </x:c>
    </x:row>
    <x:row r="18">
      <x:c r="A18" s="18" t="str">
        <x:v>2026-06-24</x:v>
      </x:c>
      <x:c r="B18" s="19" t="str">
        <x:v>Phase 1 - Baseline</x:v>
      </x:c>
      <x:c r="C18" s="13" t="str">
        <x:v>Daily Walk</x:v>
      </x:c>
      <x:c r="D18" s="20" t="n">
        <x:v>3</x:v>
      </x:c>
      <x:c r="E18" s="26" t="n">
        <x:v>0</x:v>
      </x:c>
      <x:c r="F18" s="27" t="str">
        <x:v>N</x:v>
      </x:c>
      <x:c r="G18" s="28" t="str">
        <x:f>IF(AND(E18=0,UPPER(F18)="N"),"PENDING",IF(AND(E18&gt;=D18,UPPER(F18)="Y"),"SUCCESS",IF(OR(E18&gt;=D18,UPPER(F18)="Y"),"PARTIAL SUCCESS","FAILURE")))</x:f>
        <x:v>PENDING</x:v>
      </x:c>
      <x:c r="H18" s="17" t="str">
        <x:v>Open workout</x:v>
      </x:c>
    </x:row>
    <x:row r="19">
      <x:c r="A19" s="18" t="str">
        <x:v>2026-06-25</x:v>
      </x:c>
      <x:c r="B19" s="19" t="str">
        <x:v>Phase 1 - Baseline</x:v>
      </x:c>
      <x:c r="C19" s="13" t="str">
        <x:v>Daily Walk</x:v>
      </x:c>
      <x:c r="D19" s="20" t="n">
        <x:v>3</x:v>
      </x:c>
      <x:c r="E19" s="26" t="n">
        <x:v>0</x:v>
      </x:c>
      <x:c r="F19" s="27" t="str">
        <x:v>N</x:v>
      </x:c>
      <x:c r="G19" s="28" t="str">
        <x:f>IF(AND(E19=0,UPPER(F19)="N"),"PENDING",IF(AND(E19&gt;=D19,UPPER(F19)="Y"),"SUCCESS",IF(OR(E19&gt;=D19,UPPER(F19)="Y"),"PARTIAL SUCCESS","FAILURE")))</x:f>
        <x:v>PENDING</x:v>
      </x:c>
      <x:c r="H19" s="17" t="str">
        <x:v>Open workout</x:v>
      </x:c>
    </x:row>
    <x:row r="20">
      <x:c r="A20" s="18" t="str">
        <x:v>2026-06-26</x:v>
      </x:c>
      <x:c r="B20" s="19" t="str">
        <x:v>Phase 1 - Baseline</x:v>
      </x:c>
      <x:c r="C20" s="13" t="str">
        <x:v>Daily Walk</x:v>
      </x:c>
      <x:c r="D20" s="20" t="n">
        <x:v>3</x:v>
      </x:c>
      <x:c r="E20" s="26" t="n">
        <x:v>0</x:v>
      </x:c>
      <x:c r="F20" s="27" t="str">
        <x:v>N</x:v>
      </x:c>
      <x:c r="G20" s="28" t="str">
        <x:f>IF(AND(E20=0,UPPER(F20)="N"),"PENDING",IF(AND(E20&gt;=D20,UPPER(F20)="Y"),"SUCCESS",IF(OR(E20&gt;=D20,UPPER(F20)="Y"),"PARTIAL SUCCESS","FAILURE")))</x:f>
        <x:v>PENDING</x:v>
      </x:c>
      <x:c r="H20" s="17" t="str">
        <x:v>Open workout</x:v>
      </x:c>
    </x:row>
    <x:row r="21">
      <x:c r="A21" s="18" t="str">
        <x:v>2026-06-27</x:v>
      </x:c>
      <x:c r="B21" s="19" t="str">
        <x:v>Phase 1 - Baseline</x:v>
      </x:c>
      <x:c r="C21" s="13" t="str">
        <x:v>Daily Walk</x:v>
      </x:c>
      <x:c r="D21" s="20" t="n">
        <x:v>3</x:v>
      </x:c>
      <x:c r="E21" s="26" t="n">
        <x:v>0</x:v>
      </x:c>
      <x:c r="F21" s="27" t="str">
        <x:v>N</x:v>
      </x:c>
      <x:c r="G21" s="28" t="str">
        <x:f>IF(AND(E21=0,UPPER(F21)="N"),"PENDING",IF(AND(E21&gt;=D21,UPPER(F21)="Y"),"SUCCESS",IF(OR(E21&gt;=D21,UPPER(F21)="Y"),"PARTIAL SUCCESS","FAILURE")))</x:f>
        <x:v>PENDING</x:v>
      </x:c>
      <x:c r="H21" s="17" t="str">
        <x:v>Open workout</x:v>
      </x:c>
    </x:row>
    <x:row r="22">
      <x:c r="A22" s="18" t="str">
        <x:v>2026-06-28</x:v>
      </x:c>
      <x:c r="B22" s="19" t="str">
        <x:v>Phase 1 - Baseline</x:v>
      </x:c>
      <x:c r="C22" s="13" t="str">
        <x:v>Weekly Long Walk</x:v>
      </x:c>
      <x:c r="D22" s="20" t="n">
        <x:v>5</x:v>
      </x:c>
      <x:c r="E22" s="26" t="n">
        <x:v>0</x:v>
      </x:c>
      <x:c r="F22" s="27" t="str">
        <x:v>N</x:v>
      </x:c>
      <x:c r="G22" s="28" t="str">
        <x:f>IF(AND(E22=0,UPPER(F22)="N"),"PENDING",IF(AND(E22&gt;=D22,UPPER(F22)="Y"),"SUCCESS",IF(OR(E22&gt;=D22,UPPER(F22)="Y"),"PARTIAL SUCCESS","FAILURE")))</x:f>
        <x:v>PENDING</x:v>
      </x:c>
      <x:c r="H22" s="17" t="str">
        <x:v>Open workout</x:v>
      </x:c>
    </x:row>
    <x:row r="23">
      <x:c r="A23" s="18" t="str">
        <x:v>2026-06-29</x:v>
      </x:c>
      <x:c r="B23" s="19" t="str">
        <x:v>Phase 2 - Stamina</x:v>
      </x:c>
      <x:c r="C23" s="13" t="str">
        <x:v>Daily Walk</x:v>
      </x:c>
      <x:c r="D23" s="20" t="n">
        <x:v>5</x:v>
      </x:c>
      <x:c r="E23" s="26" t="n">
        <x:v>0</x:v>
      </x:c>
      <x:c r="F23" s="27" t="str">
        <x:v>N</x:v>
      </x:c>
      <x:c r="G23" s="28" t="str">
        <x:f>IF(AND(E23=0,UPPER(F23)="N"),"PENDING",IF(AND(E23&gt;=D23,UPPER(F23)="Y"),"SUCCESS",IF(OR(E23&gt;=D23,UPPER(F23)="Y"),"PARTIAL SUCCESS","FAILURE")))</x:f>
        <x:v>PENDING</x:v>
      </x:c>
      <x:c r="H23" s="17" t="str">
        <x:v>Open workout</x:v>
      </x:c>
    </x:row>
    <x:row r="24">
      <x:c r="A24" s="18" t="str">
        <x:v>2026-06-30</x:v>
      </x:c>
      <x:c r="B24" s="19" t="str">
        <x:v>Phase 2 - Stamina</x:v>
      </x:c>
      <x:c r="C24" s="13" t="str">
        <x:v>Daily Walk</x:v>
      </x:c>
      <x:c r="D24" s="20" t="n">
        <x:v>5</x:v>
      </x:c>
      <x:c r="E24" s="26" t="n">
        <x:v>0</x:v>
      </x:c>
      <x:c r="F24" s="27" t="str">
        <x:v>N</x:v>
      </x:c>
      <x:c r="G24" s="28" t="str">
        <x:f>IF(AND(E24=0,UPPER(F24)="N"),"PENDING",IF(AND(E24&gt;=D24,UPPER(F24)="Y"),"SUCCESS",IF(OR(E24&gt;=D24,UPPER(F24)="Y"),"PARTIAL SUCCESS","FAILURE")))</x:f>
        <x:v>PENDING</x:v>
      </x:c>
      <x:c r="H24" s="17" t="str">
        <x:v>Open workout</x:v>
      </x:c>
    </x:row>
    <x:row r="25">
      <x:c r="A25" s="18" t="str">
        <x:v>2026-07-01</x:v>
      </x:c>
      <x:c r="B25" s="19" t="str">
        <x:v>Phase 2 - Stamina</x:v>
      </x:c>
      <x:c r="C25" s="13" t="str">
        <x:v>Daily Walk</x:v>
      </x:c>
      <x:c r="D25" s="20" t="n">
        <x:v>5</x:v>
      </x:c>
      <x:c r="E25" s="26" t="n">
        <x:v>0</x:v>
      </x:c>
      <x:c r="F25" s="27" t="str">
        <x:v>N</x:v>
      </x:c>
      <x:c r="G25" s="28" t="str">
        <x:f>IF(AND(E25=0,UPPER(F25)="N"),"PENDING",IF(AND(E25&gt;=D25,UPPER(F25)="Y"),"SUCCESS",IF(OR(E25&gt;=D25,UPPER(F25)="Y"),"PARTIAL SUCCESS","FAILURE")))</x:f>
        <x:v>PENDING</x:v>
      </x:c>
      <x:c r="H25" s="17" t="str">
        <x:v>Open workout</x:v>
      </x:c>
    </x:row>
    <x:row r="26">
      <x:c r="A26" s="18" t="str">
        <x:v>2026-07-02</x:v>
      </x:c>
      <x:c r="B26" s="19" t="str">
        <x:v>Phase 2 - Stamina</x:v>
      </x:c>
      <x:c r="C26" s="13" t="str">
        <x:v>Daily Walk</x:v>
      </x:c>
      <x:c r="D26" s="20" t="n">
        <x:v>5</x:v>
      </x:c>
      <x:c r="E26" s="26" t="n">
        <x:v>0</x:v>
      </x:c>
      <x:c r="F26" s="27" t="str">
        <x:v>N</x:v>
      </x:c>
      <x:c r="G26" s="28" t="str">
        <x:f>IF(AND(E26=0,UPPER(F26)="N"),"PENDING",IF(AND(E26&gt;=D26,UPPER(F26)="Y"),"SUCCESS",IF(OR(E26&gt;=D26,UPPER(F26)="Y"),"PARTIAL SUCCESS","FAILURE")))</x:f>
        <x:v>PENDING</x:v>
      </x:c>
      <x:c r="H26" s="17" t="str">
        <x:v>Open workout</x:v>
      </x:c>
    </x:row>
    <x:row r="27">
      <x:c r="A27" s="18" t="str">
        <x:v>2026-07-03</x:v>
      </x:c>
      <x:c r="B27" s="19" t="str">
        <x:v>Phase 2 - Stamina</x:v>
      </x:c>
      <x:c r="C27" s="13" t="str">
        <x:v>Daily Walk</x:v>
      </x:c>
      <x:c r="D27" s="20" t="n">
        <x:v>5</x:v>
      </x:c>
      <x:c r="E27" s="26" t="n">
        <x:v>0</x:v>
      </x:c>
      <x:c r="F27" s="27" t="str">
        <x:v>N</x:v>
      </x:c>
      <x:c r="G27" s="28" t="str">
        <x:f>IF(AND(E27=0,UPPER(F27)="N"),"PENDING",IF(AND(E27&gt;=D27,UPPER(F27)="Y"),"SUCCESS",IF(OR(E27&gt;=D27,UPPER(F27)="Y"),"PARTIAL SUCCESS","FAILURE")))</x:f>
        <x:v>PENDING</x:v>
      </x:c>
      <x:c r="H27" s="17" t="str">
        <x:v>Open workout</x:v>
      </x:c>
    </x:row>
    <x:row r="28">
      <x:c r="A28" s="18" t="str">
        <x:v>2026-07-04</x:v>
      </x:c>
      <x:c r="B28" s="19" t="str">
        <x:v>Phase 2 - Stamina</x:v>
      </x:c>
      <x:c r="C28" s="13" t="str">
        <x:v>Daily Walk</x:v>
      </x:c>
      <x:c r="D28" s="20" t="n">
        <x:v>5</x:v>
      </x:c>
      <x:c r="E28" s="26" t="n">
        <x:v>0</x:v>
      </x:c>
      <x:c r="F28" s="27" t="str">
        <x:v>N</x:v>
      </x:c>
      <x:c r="G28" s="28" t="str">
        <x:f>IF(AND(E28=0,UPPER(F28)="N"),"PENDING",IF(AND(E28&gt;=D28,UPPER(F28)="Y"),"SUCCESS",IF(OR(E28&gt;=D28,UPPER(F28)="Y"),"PARTIAL SUCCESS","FAILURE")))</x:f>
        <x:v>PENDING</x:v>
      </x:c>
      <x:c r="H28" s="17" t="str">
        <x:v>Open workout</x:v>
      </x:c>
    </x:row>
    <x:row r="29">
      <x:c r="A29" s="18" t="str">
        <x:v>2026-07-05</x:v>
      </x:c>
      <x:c r="B29" s="19" t="str">
        <x:v>Phase 2 - Stamina</x:v>
      </x:c>
      <x:c r="C29" s="13" t="str">
        <x:v>Weekly Heavy Walk</x:v>
      </x:c>
      <x:c r="D29" s="20" t="n">
        <x:v>10</x:v>
      </x:c>
      <x:c r="E29" s="26" t="n">
        <x:v>0</x:v>
      </x:c>
      <x:c r="F29" s="27" t="str">
        <x:v>N</x:v>
      </x:c>
      <x:c r="G29" s="28" t="str">
        <x:f>IF(AND(E29=0,UPPER(F29)="N"),"PENDING",IF(AND(E29&gt;=D29,UPPER(F29)="Y"),"SUCCESS",IF(OR(E29&gt;=D29,UPPER(F29)="Y"),"PARTIAL SUCCESS","FAILURE")))</x:f>
        <x:v>PENDING</x:v>
      </x:c>
      <x:c r="H29" s="17" t="str">
        <x:v>Open workout</x:v>
      </x:c>
    </x:row>
    <x:row r="30">
      <x:c r="A30" s="18" t="str">
        <x:v>2026-07-06</x:v>
      </x:c>
      <x:c r="B30" s="19" t="str">
        <x:v>Phase 2 - Stamina</x:v>
      </x:c>
      <x:c r="C30" s="13" t="str">
        <x:v>Daily Walk</x:v>
      </x:c>
      <x:c r="D30" s="20" t="n">
        <x:v>5</x:v>
      </x:c>
      <x:c r="E30" s="26" t="n">
        <x:v>0</x:v>
      </x:c>
      <x:c r="F30" s="27" t="str">
        <x:v>N</x:v>
      </x:c>
      <x:c r="G30" s="28" t="str">
        <x:f>IF(AND(E30=0,UPPER(F30)="N"),"PENDING",IF(AND(E30&gt;=D30,UPPER(F30)="Y"),"SUCCESS",IF(OR(E30&gt;=D30,UPPER(F30)="Y"),"PARTIAL SUCCESS","FAILURE")))</x:f>
        <x:v>PENDING</x:v>
      </x:c>
      <x:c r="H30" s="17" t="str">
        <x:v>Open workout</x:v>
      </x:c>
    </x:row>
    <x:row r="31">
      <x:c r="A31" s="18" t="str">
        <x:v>2026-07-07</x:v>
      </x:c>
      <x:c r="B31" s="19" t="str">
        <x:v>Phase 2 - Stamina</x:v>
      </x:c>
      <x:c r="C31" s="13" t="str">
        <x:v>Daily Walk</x:v>
      </x:c>
      <x:c r="D31" s="20" t="n">
        <x:v>5</x:v>
      </x:c>
      <x:c r="E31" s="26" t="n">
        <x:v>0</x:v>
      </x:c>
      <x:c r="F31" s="27" t="str">
        <x:v>N</x:v>
      </x:c>
      <x:c r="G31" s="28" t="str">
        <x:f>IF(AND(E31=0,UPPER(F31)="N"),"PENDING",IF(AND(E31&gt;=D31,UPPER(F31)="Y"),"SUCCESS",IF(OR(E31&gt;=D31,UPPER(F31)="Y"),"PARTIAL SUCCESS","FAILURE")))</x:f>
        <x:v>PENDING</x:v>
      </x:c>
      <x:c r="H31" s="17" t="str">
        <x:v>Open workout</x:v>
      </x:c>
    </x:row>
    <x:row r="32">
      <x:c r="A32" s="18" t="str">
        <x:v>2026-07-08</x:v>
      </x:c>
      <x:c r="B32" s="19" t="str">
        <x:v>Phase 2 - Stamina</x:v>
      </x:c>
      <x:c r="C32" s="13" t="str">
        <x:v>Daily Walk</x:v>
      </x:c>
      <x:c r="D32" s="20" t="n">
        <x:v>5</x:v>
      </x:c>
      <x:c r="E32" s="26" t="n">
        <x:v>0</x:v>
      </x:c>
      <x:c r="F32" s="27" t="str">
        <x:v>N</x:v>
      </x:c>
      <x:c r="G32" s="28" t="str">
        <x:f>IF(AND(E32=0,UPPER(F32)="N"),"PENDING",IF(AND(E32&gt;=D32,UPPER(F32)="Y"),"SUCCESS",IF(OR(E32&gt;=D32,UPPER(F32)="Y"),"PARTIAL SUCCESS","FAILURE")))</x:f>
        <x:v>PENDING</x:v>
      </x:c>
      <x:c r="H32" s="17" t="str">
        <x:v>Open workout</x:v>
      </x:c>
    </x:row>
    <x:row r="33">
      <x:c r="A33" s="18" t="str">
        <x:v>2026-07-09</x:v>
      </x:c>
      <x:c r="B33" s="19" t="str">
        <x:v>Phase 2 - Stamina</x:v>
      </x:c>
      <x:c r="C33" s="13" t="str">
        <x:v>Daily Walk</x:v>
      </x:c>
      <x:c r="D33" s="20" t="n">
        <x:v>5</x:v>
      </x:c>
      <x:c r="E33" s="26" t="n">
        <x:v>0</x:v>
      </x:c>
      <x:c r="F33" s="27" t="str">
        <x:v>N</x:v>
      </x:c>
      <x:c r="G33" s="28" t="str">
        <x:f>IF(AND(E33=0,UPPER(F33)="N"),"PENDING",IF(AND(E33&gt;=D33,UPPER(F33)="Y"),"SUCCESS",IF(OR(E33&gt;=D33,UPPER(F33)="Y"),"PARTIAL SUCCESS","FAILURE")))</x:f>
        <x:v>PENDING</x:v>
      </x:c>
      <x:c r="H33" s="17" t="str">
        <x:v>Open workout</x:v>
      </x:c>
    </x:row>
    <x:row r="34">
      <x:c r="A34" s="18" t="str">
        <x:v>2026-07-10</x:v>
      </x:c>
      <x:c r="B34" s="19" t="str">
        <x:v>Phase 2 - Stamina</x:v>
      </x:c>
      <x:c r="C34" s="13" t="str">
        <x:v>Daily Walk</x:v>
      </x:c>
      <x:c r="D34" s="20" t="n">
        <x:v>5</x:v>
      </x:c>
      <x:c r="E34" s="26" t="n">
        <x:v>0</x:v>
      </x:c>
      <x:c r="F34" s="27" t="str">
        <x:v>N</x:v>
      </x:c>
      <x:c r="G34" s="28" t="str">
        <x:f>IF(AND(E34=0,UPPER(F34)="N"),"PENDING",IF(AND(E34&gt;=D34,UPPER(F34)="Y"),"SUCCESS",IF(OR(E34&gt;=D34,UPPER(F34)="Y"),"PARTIAL SUCCESS","FAILURE")))</x:f>
        <x:v>PENDING</x:v>
      </x:c>
      <x:c r="H34" s="17" t="str">
        <x:v>Open workout</x:v>
      </x:c>
    </x:row>
    <x:row r="35">
      <x:c r="A35" s="18" t="str">
        <x:v>2026-07-11</x:v>
      </x:c>
      <x:c r="B35" s="19" t="str">
        <x:v>Phase 2 - Stamina</x:v>
      </x:c>
      <x:c r="C35" s="13" t="str">
        <x:v>Daily Walk</x:v>
      </x:c>
      <x:c r="D35" s="20" t="n">
        <x:v>5</x:v>
      </x:c>
      <x:c r="E35" s="26" t="n">
        <x:v>0</x:v>
      </x:c>
      <x:c r="F35" s="27" t="str">
        <x:v>N</x:v>
      </x:c>
      <x:c r="G35" s="28" t="str">
        <x:f>IF(AND(E35=0,UPPER(F35)="N"),"PENDING",IF(AND(E35&gt;=D35,UPPER(F35)="Y"),"SUCCESS",IF(OR(E35&gt;=D35,UPPER(F35)="Y"),"PARTIAL SUCCESS","FAILURE")))</x:f>
        <x:v>PENDING</x:v>
      </x:c>
      <x:c r="H35" s="17" t="str">
        <x:v>Open workout</x:v>
      </x:c>
    </x:row>
    <x:row r="36">
      <x:c r="A36" s="18" t="str">
        <x:v>2026-07-12</x:v>
      </x:c>
      <x:c r="B36" s="19" t="str">
        <x:v>Phase 2 - Stamina</x:v>
      </x:c>
      <x:c r="C36" s="13" t="str">
        <x:v>Weekly Heavy Walk</x:v>
      </x:c>
      <x:c r="D36" s="20" t="n">
        <x:v>10</x:v>
      </x:c>
      <x:c r="E36" s="26" t="n">
        <x:v>0</x:v>
      </x:c>
      <x:c r="F36" s="27" t="str">
        <x:v>N</x:v>
      </x:c>
      <x:c r="G36" s="28" t="str">
        <x:f>IF(AND(E36=0,UPPER(F36)="N"),"PENDING",IF(AND(E36&gt;=D36,UPPER(F36)="Y"),"SUCCESS",IF(OR(E36&gt;=D36,UPPER(F36)="Y"),"PARTIAL SUCCESS","FAILURE")))</x:f>
        <x:v>PENDING</x:v>
      </x:c>
      <x:c r="H36" s="17" t="str">
        <x:v>Open workout</x:v>
      </x:c>
    </x:row>
    <x:row r="37">
      <x:c r="A37" s="18" t="str">
        <x:v>2026-07-13</x:v>
      </x:c>
      <x:c r="B37" s="19" t="str">
        <x:v>Phase 2 - Stamina</x:v>
      </x:c>
      <x:c r="C37" s="13" t="str">
        <x:v>Daily Walk</x:v>
      </x:c>
      <x:c r="D37" s="20" t="n">
        <x:v>5</x:v>
      </x:c>
      <x:c r="E37" s="26" t="n">
        <x:v>0</x:v>
      </x:c>
      <x:c r="F37" s="27" t="str">
        <x:v>N</x:v>
      </x:c>
      <x:c r="G37" s="28" t="str">
        <x:f>IF(AND(E37=0,UPPER(F37)="N"),"PENDING",IF(AND(E37&gt;=D37,UPPER(F37)="Y"),"SUCCESS",IF(OR(E37&gt;=D37,UPPER(F37)="Y"),"PARTIAL SUCCESS","FAILURE")))</x:f>
        <x:v>PENDING</x:v>
      </x:c>
      <x:c r="H37" s="17" t="str">
        <x:v>Open workout</x:v>
      </x:c>
    </x:row>
    <x:row r="38">
      <x:c r="A38" s="18" t="str">
        <x:v>2026-07-14</x:v>
      </x:c>
      <x:c r="B38" s="19" t="str">
        <x:v>Phase 2 - Stamina</x:v>
      </x:c>
      <x:c r="C38" s="13" t="str">
        <x:v>Daily Walk</x:v>
      </x:c>
      <x:c r="D38" s="20" t="n">
        <x:v>5</x:v>
      </x:c>
      <x:c r="E38" s="26" t="n">
        <x:v>0</x:v>
      </x:c>
      <x:c r="F38" s="27" t="str">
        <x:v>N</x:v>
      </x:c>
      <x:c r="G38" s="28" t="str">
        <x:f>IF(AND(E38=0,UPPER(F38)="N"),"PENDING",IF(AND(E38&gt;=D38,UPPER(F38)="Y"),"SUCCESS",IF(OR(E38&gt;=D38,UPPER(F38)="Y"),"PARTIAL SUCCESS","FAILURE")))</x:f>
        <x:v>PENDING</x:v>
      </x:c>
      <x:c r="H38" s="17" t="str">
        <x:v>Open workout</x:v>
      </x:c>
    </x:row>
    <x:row r="39">
      <x:c r="A39" s="18" t="str">
        <x:v>2026-07-15</x:v>
      </x:c>
      <x:c r="B39" s="19" t="str">
        <x:v>Phase 2 - Stamina</x:v>
      </x:c>
      <x:c r="C39" s="13" t="str">
        <x:v>Daily Walk</x:v>
      </x:c>
      <x:c r="D39" s="20" t="n">
        <x:v>5</x:v>
      </x:c>
      <x:c r="E39" s="26" t="n">
        <x:v>0</x:v>
      </x:c>
      <x:c r="F39" s="27" t="str">
        <x:v>N</x:v>
      </x:c>
      <x:c r="G39" s="28" t="str">
        <x:f>IF(AND(E39=0,UPPER(F39)="N"),"PENDING",IF(AND(E39&gt;=D39,UPPER(F39)="Y"),"SUCCESS",IF(OR(E39&gt;=D39,UPPER(F39)="Y"),"PARTIAL SUCCESS","FAILURE")))</x:f>
        <x:v>PENDING</x:v>
      </x:c>
      <x:c r="H39" s="17" t="str">
        <x:v>Open workout</x:v>
      </x:c>
    </x:row>
    <x:row r="40">
      <x:c r="A40" s="18" t="str">
        <x:v>2026-07-16</x:v>
      </x:c>
      <x:c r="B40" s="19" t="str">
        <x:v>Phase 2 - Stamina</x:v>
      </x:c>
      <x:c r="C40" s="13" t="str">
        <x:v>Daily Walk</x:v>
      </x:c>
      <x:c r="D40" s="20" t="n">
        <x:v>5</x:v>
      </x:c>
      <x:c r="E40" s="26" t="n">
        <x:v>0</x:v>
      </x:c>
      <x:c r="F40" s="27" t="str">
        <x:v>N</x:v>
      </x:c>
      <x:c r="G40" s="28" t="str">
        <x:f>IF(AND(E40=0,UPPER(F40)="N"),"PENDING",IF(AND(E40&gt;=D40,UPPER(F40)="Y"),"SUCCESS",IF(OR(E40&gt;=D40,UPPER(F40)="Y"),"PARTIAL SUCCESS","FAILURE")))</x:f>
        <x:v>PENDING</x:v>
      </x:c>
      <x:c r="H40" s="17" t="str">
        <x:v>Open workout</x:v>
      </x:c>
    </x:row>
    <x:row r="41">
      <x:c r="A41" s="18" t="str">
        <x:v>2026-07-17</x:v>
      </x:c>
      <x:c r="B41" s="19" t="str">
        <x:v>Phase 2 - Stamina</x:v>
      </x:c>
      <x:c r="C41" s="13" t="str">
        <x:v>Daily Walk</x:v>
      </x:c>
      <x:c r="D41" s="20" t="n">
        <x:v>5</x:v>
      </x:c>
      <x:c r="E41" s="26" t="n">
        <x:v>0</x:v>
      </x:c>
      <x:c r="F41" s="27" t="str">
        <x:v>N</x:v>
      </x:c>
      <x:c r="G41" s="28" t="str">
        <x:f>IF(AND(E41=0,UPPER(F41)="N"),"PENDING",IF(AND(E41&gt;=D41,UPPER(F41)="Y"),"SUCCESS",IF(OR(E41&gt;=D41,UPPER(F41)="Y"),"PARTIAL SUCCESS","FAILURE")))</x:f>
        <x:v>PENDING</x:v>
      </x:c>
      <x:c r="H41" s="17" t="str">
        <x:v>Open workout</x:v>
      </x:c>
    </x:row>
    <x:row r="42">
      <x:c r="A42" s="18" t="str">
        <x:v>2026-07-18</x:v>
      </x:c>
      <x:c r="B42" s="19" t="str">
        <x:v>Phase 2 - Stamina</x:v>
      </x:c>
      <x:c r="C42" s="13" t="str">
        <x:v>Daily Walk</x:v>
      </x:c>
      <x:c r="D42" s="20" t="n">
        <x:v>5</x:v>
      </x:c>
      <x:c r="E42" s="26" t="n">
        <x:v>0</x:v>
      </x:c>
      <x:c r="F42" s="27" t="str">
        <x:v>N</x:v>
      </x:c>
      <x:c r="G42" s="28" t="str">
        <x:f>IF(AND(E42=0,UPPER(F42)="N"),"PENDING",IF(AND(E42&gt;=D42,UPPER(F42)="Y"),"SUCCESS",IF(OR(E42&gt;=D42,UPPER(F42)="Y"),"PARTIAL SUCCESS","FAILURE")))</x:f>
        <x:v>PENDING</x:v>
      </x:c>
      <x:c r="H42" s="17" t="str">
        <x:v>Open workout</x:v>
      </x:c>
    </x:row>
    <x:row r="43">
      <x:c r="A43" s="18" t="str">
        <x:v>2026-07-19</x:v>
      </x:c>
      <x:c r="B43" s="19" t="str">
        <x:v>Phase 2 - Stamina</x:v>
      </x:c>
      <x:c r="C43" s="13" t="str">
        <x:v>Weekly Heavy Walk</x:v>
      </x:c>
      <x:c r="D43" s="20" t="n">
        <x:v>10</x:v>
      </x:c>
      <x:c r="E43" s="26" t="n">
        <x:v>0</x:v>
      </x:c>
      <x:c r="F43" s="27" t="str">
        <x:v>N</x:v>
      </x:c>
      <x:c r="G43" s="28" t="str">
        <x:f>IF(AND(E43=0,UPPER(F43)="N"),"PENDING",IF(AND(E43&gt;=D43,UPPER(F43)="Y"),"SUCCESS",IF(OR(E43&gt;=D43,UPPER(F43)="Y"),"PARTIAL SUCCESS","FAILURE")))</x:f>
        <x:v>PENDING</x:v>
      </x:c>
      <x:c r="H43" s="17" t="str">
        <x:v>Open workout</x:v>
      </x:c>
    </x:row>
    <x:row r="44">
      <x:c r="A44" s="18" t="str">
        <x:v>2026-07-20</x:v>
      </x:c>
      <x:c r="B44" s="19" t="str">
        <x:v>Phase 3 - Load Bearing</x:v>
      </x:c>
      <x:c r="C44" s="13" t="str">
        <x:v>Daily Backpack Walk</x:v>
      </x:c>
      <x:c r="D44" s="20" t="n">
        <x:v>6</x:v>
      </x:c>
      <x:c r="E44" s="26" t="n">
        <x:v>0</x:v>
      </x:c>
      <x:c r="F44" s="27" t="str">
        <x:v>N</x:v>
      </x:c>
      <x:c r="G44" s="28" t="str">
        <x:f>IF(AND(E44=0,UPPER(F44)="N"),"PENDING",IF(AND(E44&gt;=D44,UPPER(F44)="Y"),"SUCCESS",IF(OR(E44&gt;=D44,UPPER(F44)="Y"),"PARTIAL SUCCESS","FAILURE")))</x:f>
        <x:v>PENDING</x:v>
      </x:c>
      <x:c r="H44" s="17" t="str">
        <x:v>Open workout</x:v>
      </x:c>
    </x:row>
    <x:row r="45">
      <x:c r="A45" s="18" t="str">
        <x:v>2026-07-21</x:v>
      </x:c>
      <x:c r="B45" s="19" t="str">
        <x:v>Phase 3 - Load Bearing</x:v>
      </x:c>
      <x:c r="C45" s="13" t="str">
        <x:v>Daily Backpack Walk</x:v>
      </x:c>
      <x:c r="D45" s="20" t="n">
        <x:v>6</x:v>
      </x:c>
      <x:c r="E45" s="26" t="n">
        <x:v>0</x:v>
      </x:c>
      <x:c r="F45" s="27" t="str">
        <x:v>N</x:v>
      </x:c>
      <x:c r="G45" s="28" t="str">
        <x:f>IF(AND(E45=0,UPPER(F45)="N"),"PENDING",IF(AND(E45&gt;=D45,UPPER(F45)="Y"),"SUCCESS",IF(OR(E45&gt;=D45,UPPER(F45)="Y"),"PARTIAL SUCCESS","FAILURE")))</x:f>
        <x:v>PENDING</x:v>
      </x:c>
      <x:c r="H45" s="17" t="str">
        <x:v>Open workout</x:v>
      </x:c>
    </x:row>
    <x:row r="46">
      <x:c r="A46" s="18" t="str">
        <x:v>2026-07-22</x:v>
      </x:c>
      <x:c r="B46" s="19" t="str">
        <x:v>Phase 3 - Load Bearing</x:v>
      </x:c>
      <x:c r="C46" s="13" t="str">
        <x:v>Daily Backpack Walk</x:v>
      </x:c>
      <x:c r="D46" s="20" t="n">
        <x:v>6</x:v>
      </x:c>
      <x:c r="E46" s="26" t="n">
        <x:v>0</x:v>
      </x:c>
      <x:c r="F46" s="27" t="str">
        <x:v>N</x:v>
      </x:c>
      <x:c r="G46" s="28" t="str">
        <x:f>IF(AND(E46=0,UPPER(F46)="N"),"PENDING",IF(AND(E46&gt;=D46,UPPER(F46)="Y"),"SUCCESS",IF(OR(E46&gt;=D46,UPPER(F46)="Y"),"PARTIAL SUCCESS","FAILURE")))</x:f>
        <x:v>PENDING</x:v>
      </x:c>
      <x:c r="H46" s="17" t="str">
        <x:v>Open workout</x:v>
      </x:c>
    </x:row>
    <x:row r="47">
      <x:c r="A47" s="18" t="str">
        <x:v>2026-07-23</x:v>
      </x:c>
      <x:c r="B47" s="19" t="str">
        <x:v>Phase 3 - Load Bearing</x:v>
      </x:c>
      <x:c r="C47" s="13" t="str">
        <x:v>Daily Backpack Walk</x:v>
      </x:c>
      <x:c r="D47" s="20" t="n">
        <x:v>6</x:v>
      </x:c>
      <x:c r="E47" s="26" t="n">
        <x:v>0</x:v>
      </x:c>
      <x:c r="F47" s="27" t="str">
        <x:v>N</x:v>
      </x:c>
      <x:c r="G47" s="28" t="str">
        <x:f>IF(AND(E47=0,UPPER(F47)="N"),"PENDING",IF(AND(E47&gt;=D47,UPPER(F47)="Y"),"SUCCESS",IF(OR(E47&gt;=D47,UPPER(F47)="Y"),"PARTIAL SUCCESS","FAILURE")))</x:f>
        <x:v>PENDING</x:v>
      </x:c>
      <x:c r="H47" s="17" t="str">
        <x:v>Open workout</x:v>
      </x:c>
    </x:row>
    <x:row r="48">
      <x:c r="A48" s="18" t="str">
        <x:v>2026-07-24</x:v>
      </x:c>
      <x:c r="B48" s="19" t="str">
        <x:v>Phase 3 - Load Bearing</x:v>
      </x:c>
      <x:c r="C48" s="13" t="str">
        <x:v>Daily Backpack Walk</x:v>
      </x:c>
      <x:c r="D48" s="20" t="n">
        <x:v>6</x:v>
      </x:c>
      <x:c r="E48" s="26" t="n">
        <x:v>0</x:v>
      </x:c>
      <x:c r="F48" s="27" t="str">
        <x:v>N</x:v>
      </x:c>
      <x:c r="G48" s="28" t="str">
        <x:f>IF(AND(E48=0,UPPER(F48)="N"),"PENDING",IF(AND(E48&gt;=D48,UPPER(F48)="Y"),"SUCCESS",IF(OR(E48&gt;=D48,UPPER(F48)="Y"),"PARTIAL SUCCESS","FAILURE")))</x:f>
        <x:v>PENDING</x:v>
      </x:c>
      <x:c r="H48" s="17" t="str">
        <x:v>Open workout</x:v>
      </x:c>
    </x:row>
    <x:row r="49">
      <x:c r="A49" s="18" t="str">
        <x:v>2026-07-25</x:v>
      </x:c>
      <x:c r="B49" s="19" t="str">
        <x:v>Phase 3 - Load Bearing</x:v>
      </x:c>
      <x:c r="C49" s="13" t="str">
        <x:v>Daily Backpack Walk</x:v>
      </x:c>
      <x:c r="D49" s="20" t="n">
        <x:v>6</x:v>
      </x:c>
      <x:c r="E49" s="26" t="n">
        <x:v>0</x:v>
      </x:c>
      <x:c r="F49" s="27" t="str">
        <x:v>N</x:v>
      </x:c>
      <x:c r="G49" s="28" t="str">
        <x:f>IF(AND(E49=0,UPPER(F49)="N"),"PENDING",IF(AND(E49&gt;=D49,UPPER(F49)="Y"),"SUCCESS",IF(OR(E49&gt;=D49,UPPER(F49)="Y"),"PARTIAL SUCCESS","FAILURE")))</x:f>
        <x:v>PENDING</x:v>
      </x:c>
      <x:c r="H49" s="17" t="str">
        <x:v>Open workout</x:v>
      </x:c>
    </x:row>
    <x:row r="50">
      <x:c r="A50" s="18" t="str">
        <x:v>2026-07-26</x:v>
      </x:c>
      <x:c r="B50" s="19" t="str">
        <x:v>Phase 3 - Load Bearing</x:v>
      </x:c>
      <x:c r="C50" s="13" t="str">
        <x:v>Weekly Backpack Long Walk</x:v>
      </x:c>
      <x:c r="D50" s="20" t="n">
        <x:v>12</x:v>
      </x:c>
      <x:c r="E50" s="26" t="n">
        <x:v>0</x:v>
      </x:c>
      <x:c r="F50" s="27" t="str">
        <x:v>N</x:v>
      </x:c>
      <x:c r="G50" s="28" t="str">
        <x:f>IF(AND(E50=0,UPPER(F50)="N"),"PENDING",IF(AND(E50&gt;=D50,UPPER(F50)="Y"),"SUCCESS",IF(OR(E50&gt;=D50,UPPER(F50)="Y"),"PARTIAL SUCCESS","FAILURE")))</x:f>
        <x:v>PENDING</x:v>
      </x:c>
      <x:c r="H50" s="17" t="str">
        <x:v>Open workout</x:v>
      </x:c>
    </x:row>
    <x:row r="51">
      <x:c r="A51" s="18" t="str">
        <x:v>2026-07-27</x:v>
      </x:c>
      <x:c r="B51" s="19" t="str">
        <x:v>Phase 3 - Load Bearing</x:v>
      </x:c>
      <x:c r="C51" s="13" t="str">
        <x:v>Daily Backpack Walk</x:v>
      </x:c>
      <x:c r="D51" s="20" t="n">
        <x:v>6</x:v>
      </x:c>
      <x:c r="E51" s="26" t="n">
        <x:v>0</x:v>
      </x:c>
      <x:c r="F51" s="27" t="str">
        <x:v>N</x:v>
      </x:c>
      <x:c r="G51" s="28" t="str">
        <x:f>IF(AND(E51=0,UPPER(F51)="N"),"PENDING",IF(AND(E51&gt;=D51,UPPER(F51)="Y"),"SUCCESS",IF(OR(E51&gt;=D51,UPPER(F51)="Y"),"PARTIAL SUCCESS","FAILURE")))</x:f>
        <x:v>PENDING</x:v>
      </x:c>
      <x:c r="H51" s="17" t="str">
        <x:v>Open workout</x:v>
      </x:c>
    </x:row>
    <x:row r="52">
      <x:c r="A52" s="18" t="str">
        <x:v>2026-07-28</x:v>
      </x:c>
      <x:c r="B52" s="19" t="str">
        <x:v>Phase 3 - Load Bearing</x:v>
      </x:c>
      <x:c r="C52" s="13" t="str">
        <x:v>Daily Backpack Walk</x:v>
      </x:c>
      <x:c r="D52" s="20" t="n">
        <x:v>6</x:v>
      </x:c>
      <x:c r="E52" s="26" t="n">
        <x:v>0</x:v>
      </x:c>
      <x:c r="F52" s="27" t="str">
        <x:v>N</x:v>
      </x:c>
      <x:c r="G52" s="28" t="str">
        <x:f>IF(AND(E52=0,UPPER(F52)="N"),"PENDING",IF(AND(E52&gt;=D52,UPPER(F52)="Y"),"SUCCESS",IF(OR(E52&gt;=D52,UPPER(F52)="Y"),"PARTIAL SUCCESS","FAILURE")))</x:f>
        <x:v>PENDING</x:v>
      </x:c>
      <x:c r="H52" s="17" t="str">
        <x:v>Open workout</x:v>
      </x:c>
    </x:row>
    <x:row r="53">
      <x:c r="A53" s="18" t="str">
        <x:v>2026-07-29</x:v>
      </x:c>
      <x:c r="B53" s="19" t="str">
        <x:v>Phase 3 - Load Bearing</x:v>
      </x:c>
      <x:c r="C53" s="13" t="str">
        <x:v>Daily Backpack Walk</x:v>
      </x:c>
      <x:c r="D53" s="20" t="n">
        <x:v>6</x:v>
      </x:c>
      <x:c r="E53" s="26" t="n">
        <x:v>0</x:v>
      </x:c>
      <x:c r="F53" s="27" t="str">
        <x:v>N</x:v>
      </x:c>
      <x:c r="G53" s="28" t="str">
        <x:f>IF(AND(E53=0,UPPER(F53)="N"),"PENDING",IF(AND(E53&gt;=D53,UPPER(F53)="Y"),"SUCCESS",IF(OR(E53&gt;=D53,UPPER(F53)="Y"),"PARTIAL SUCCESS","FAILURE")))</x:f>
        <x:v>PENDING</x:v>
      </x:c>
      <x:c r="H53" s="17" t="str">
        <x:v>Open workout</x:v>
      </x:c>
    </x:row>
    <x:row r="54">
      <x:c r="A54" s="18" t="str">
        <x:v>2026-07-30</x:v>
      </x:c>
      <x:c r="B54" s="19" t="str">
        <x:v>Phase 3 - Load Bearing</x:v>
      </x:c>
      <x:c r="C54" s="13" t="str">
        <x:v>Daily Backpack Walk</x:v>
      </x:c>
      <x:c r="D54" s="20" t="n">
        <x:v>6</x:v>
      </x:c>
      <x:c r="E54" s="26" t="n">
        <x:v>0</x:v>
      </x:c>
      <x:c r="F54" s="27" t="str">
        <x:v>N</x:v>
      </x:c>
      <x:c r="G54" s="28" t="str">
        <x:f>IF(AND(E54=0,UPPER(F54)="N"),"PENDING",IF(AND(E54&gt;=D54,UPPER(F54)="Y"),"SUCCESS",IF(OR(E54&gt;=D54,UPPER(F54)="Y"),"PARTIAL SUCCESS","FAILURE")))</x:f>
        <x:v>PENDING</x:v>
      </x:c>
      <x:c r="H54" s="17" t="str">
        <x:v>Open workout</x:v>
      </x:c>
    </x:row>
    <x:row r="55">
      <x:c r="A55" s="18" t="str">
        <x:v>2026-07-31</x:v>
      </x:c>
      <x:c r="B55" s="19" t="str">
        <x:v>Phase 3 - Load Bearing</x:v>
      </x:c>
      <x:c r="C55" s="13" t="str">
        <x:v>Daily Backpack Walk</x:v>
      </x:c>
      <x:c r="D55" s="20" t="n">
        <x:v>6</x:v>
      </x:c>
      <x:c r="E55" s="26" t="n">
        <x:v>0</x:v>
      </x:c>
      <x:c r="F55" s="27" t="str">
        <x:v>N</x:v>
      </x:c>
      <x:c r="G55" s="28" t="str">
        <x:f>IF(AND(E55=0,UPPER(F55)="N"),"PENDING",IF(AND(E55&gt;=D55,UPPER(F55)="Y"),"SUCCESS",IF(OR(E55&gt;=D55,UPPER(F55)="Y"),"PARTIAL SUCCESS","FAILURE")))</x:f>
        <x:v>PENDING</x:v>
      </x:c>
      <x:c r="H55" s="17" t="str">
        <x:v>Open workout</x:v>
      </x:c>
    </x:row>
    <x:row r="56">
      <x:c r="A56" s="18" t="str">
        <x:v>2026-08-01</x:v>
      </x:c>
      <x:c r="B56" s="19" t="str">
        <x:v>Phase 3 - Load Bearing</x:v>
      </x:c>
      <x:c r="C56" s="13" t="str">
        <x:v>Daily Backpack Walk</x:v>
      </x:c>
      <x:c r="D56" s="20" t="n">
        <x:v>6</x:v>
      </x:c>
      <x:c r="E56" s="26" t="n">
        <x:v>0</x:v>
      </x:c>
      <x:c r="F56" s="27" t="str">
        <x:v>N</x:v>
      </x:c>
      <x:c r="G56" s="28" t="str">
        <x:f>IF(AND(E56=0,UPPER(F56)="N"),"PENDING",IF(AND(E56&gt;=D56,UPPER(F56)="Y"),"SUCCESS",IF(OR(E56&gt;=D56,UPPER(F56)="Y"),"PARTIAL SUCCESS","FAILURE")))</x:f>
        <x:v>PENDING</x:v>
      </x:c>
      <x:c r="H56" s="17" t="str">
        <x:v>Open workout</x:v>
      </x:c>
    </x:row>
    <x:row r="57">
      <x:c r="A57" s="18" t="str">
        <x:v>2026-08-02</x:v>
      </x:c>
      <x:c r="B57" s="19" t="str">
        <x:v>Phase 3 - Load Bearing</x:v>
      </x:c>
      <x:c r="C57" s="13" t="str">
        <x:v>Weekly Backpack Long Walk</x:v>
      </x:c>
      <x:c r="D57" s="20" t="n">
        <x:v>12</x:v>
      </x:c>
      <x:c r="E57" s="26" t="n">
        <x:v>0</x:v>
      </x:c>
      <x:c r="F57" s="27" t="str">
        <x:v>N</x:v>
      </x:c>
      <x:c r="G57" s="28" t="str">
        <x:f>IF(AND(E57=0,UPPER(F57)="N"),"PENDING",IF(AND(E57&gt;=D57,UPPER(F57)="Y"),"SUCCESS",IF(OR(E57&gt;=D57,UPPER(F57)="Y"),"PARTIAL SUCCESS","FAILURE")))</x:f>
        <x:v>PENDING</x:v>
      </x:c>
      <x:c r="H57" s="17" t="str">
        <x:v>Open workout</x:v>
      </x:c>
    </x:row>
    <x:row r="58">
      <x:c r="A58" s="18" t="str">
        <x:v>2026-08-03</x:v>
      </x:c>
      <x:c r="B58" s="19" t="str">
        <x:v>Phase 3 - Load Bearing</x:v>
      </x:c>
      <x:c r="C58" s="13" t="str">
        <x:v>Daily Backpack Walk</x:v>
      </x:c>
      <x:c r="D58" s="20" t="n">
        <x:v>6</x:v>
      </x:c>
      <x:c r="E58" s="26" t="n">
        <x:v>0</x:v>
      </x:c>
      <x:c r="F58" s="27" t="str">
        <x:v>N</x:v>
      </x:c>
      <x:c r="G58" s="28" t="str">
        <x:f>IF(AND(E58=0,UPPER(F58)="N"),"PENDING",IF(AND(E58&gt;=D58,UPPER(F58)="Y"),"SUCCESS",IF(OR(E58&gt;=D58,UPPER(F58)="Y"),"PARTIAL SUCCESS","FAILURE")))</x:f>
        <x:v>PENDING</x:v>
      </x:c>
      <x:c r="H58" s="17" t="str">
        <x:v>Open workout</x:v>
      </x:c>
    </x:row>
    <x:row r="59">
      <x:c r="A59" s="18" t="str">
        <x:v>2026-08-04</x:v>
      </x:c>
      <x:c r="B59" s="19" t="str">
        <x:v>Phase 3 - Load Bearing</x:v>
      </x:c>
      <x:c r="C59" s="13" t="str">
        <x:v>Daily Backpack Walk</x:v>
      </x:c>
      <x:c r="D59" s="20" t="n">
        <x:v>6</x:v>
      </x:c>
      <x:c r="E59" s="26" t="n">
        <x:v>0</x:v>
      </x:c>
      <x:c r="F59" s="27" t="str">
        <x:v>N</x:v>
      </x:c>
      <x:c r="G59" s="28" t="str">
        <x:f>IF(AND(E59=0,UPPER(F59)="N"),"PENDING",IF(AND(E59&gt;=D59,UPPER(F59)="Y"),"SUCCESS",IF(OR(E59&gt;=D59,UPPER(F59)="Y"),"PARTIAL SUCCESS","FAILURE")))</x:f>
        <x:v>PENDING</x:v>
      </x:c>
      <x:c r="H59" s="17" t="str">
        <x:v>Open workout</x:v>
      </x:c>
    </x:row>
    <x:row r="60">
      <x:c r="A60" s="18" t="str">
        <x:v>2026-08-05</x:v>
      </x:c>
      <x:c r="B60" s="19" t="str">
        <x:v>Phase 3 - Load Bearing</x:v>
      </x:c>
      <x:c r="C60" s="13" t="str">
        <x:v>Daily Backpack Walk</x:v>
      </x:c>
      <x:c r="D60" s="20" t="n">
        <x:v>6</x:v>
      </x:c>
      <x:c r="E60" s="26" t="n">
        <x:v>0</x:v>
      </x:c>
      <x:c r="F60" s="27" t="str">
        <x:v>N</x:v>
      </x:c>
      <x:c r="G60" s="28" t="str">
        <x:f>IF(AND(E60=0,UPPER(F60)="N"),"PENDING",IF(AND(E60&gt;=D60,UPPER(F60)="Y"),"SUCCESS",IF(OR(E60&gt;=D60,UPPER(F60)="Y"),"PARTIAL SUCCESS","FAILURE")))</x:f>
        <x:v>PENDING</x:v>
      </x:c>
      <x:c r="H60" s="17" t="str">
        <x:v>Open workout</x:v>
      </x:c>
    </x:row>
    <x:row r="61">
      <x:c r="A61" s="18" t="str">
        <x:v>2026-08-06</x:v>
      </x:c>
      <x:c r="B61" s="19" t="str">
        <x:v>Phase 3 - Load Bearing</x:v>
      </x:c>
      <x:c r="C61" s="13" t="str">
        <x:v>Daily Backpack Walk</x:v>
      </x:c>
      <x:c r="D61" s="20" t="n">
        <x:v>6</x:v>
      </x:c>
      <x:c r="E61" s="26" t="n">
        <x:v>0</x:v>
      </x:c>
      <x:c r="F61" s="27" t="str">
        <x:v>N</x:v>
      </x:c>
      <x:c r="G61" s="28" t="str">
        <x:f>IF(AND(E61=0,UPPER(F61)="N"),"PENDING",IF(AND(E61&gt;=D61,UPPER(F61)="Y"),"SUCCESS",IF(OR(E61&gt;=D61,UPPER(F61)="Y"),"PARTIAL SUCCESS","FAILURE")))</x:f>
        <x:v>PENDING</x:v>
      </x:c>
      <x:c r="H61" s="17" t="str">
        <x:v>Open workout</x:v>
      </x:c>
    </x:row>
    <x:row r="62">
      <x:c r="A62" s="18" t="str">
        <x:v>2026-08-07</x:v>
      </x:c>
      <x:c r="B62" s="19" t="str">
        <x:v>Phase 3 - Load Bearing</x:v>
      </x:c>
      <x:c r="C62" s="13" t="str">
        <x:v>Daily Backpack Walk</x:v>
      </x:c>
      <x:c r="D62" s="20" t="n">
        <x:v>6</x:v>
      </x:c>
      <x:c r="E62" s="26" t="n">
        <x:v>0</x:v>
      </x:c>
      <x:c r="F62" s="27" t="str">
        <x:v>N</x:v>
      </x:c>
      <x:c r="G62" s="28" t="str">
        <x:f>IF(AND(E62=0,UPPER(F62)="N"),"PENDING",IF(AND(E62&gt;=D62,UPPER(F62)="Y"),"SUCCESS",IF(OR(E62&gt;=D62,UPPER(F62)="Y"),"PARTIAL SUCCESS","FAILURE")))</x:f>
        <x:v>PENDING</x:v>
      </x:c>
      <x:c r="H62" s="17" t="str">
        <x:v>Open workout</x:v>
      </x:c>
    </x:row>
    <x:row r="63">
      <x:c r="A63" s="18" t="str">
        <x:v>2026-08-08</x:v>
      </x:c>
      <x:c r="B63" s="19" t="str">
        <x:v>Phase 3 - Load Bearing</x:v>
      </x:c>
      <x:c r="C63" s="13" t="str">
        <x:v>Daily Backpack Walk</x:v>
      </x:c>
      <x:c r="D63" s="20" t="n">
        <x:v>6</x:v>
      </x:c>
      <x:c r="E63" s="26" t="n">
        <x:v>0</x:v>
      </x:c>
      <x:c r="F63" s="27" t="str">
        <x:v>N</x:v>
      </x:c>
      <x:c r="G63" s="28" t="str">
        <x:f>IF(AND(E63=0,UPPER(F63)="N"),"PENDING",IF(AND(E63&gt;=D63,UPPER(F63)="Y"),"SUCCESS",IF(OR(E63&gt;=D63,UPPER(F63)="Y"),"PARTIAL SUCCESS","FAILURE")))</x:f>
        <x:v>PENDING</x:v>
      </x:c>
      <x:c r="H63" s="17" t="str">
        <x:v>Open workout</x:v>
      </x:c>
    </x:row>
    <x:row r="64">
      <x:c r="A64" s="18" t="str">
        <x:v>2026-08-09</x:v>
      </x:c>
      <x:c r="B64" s="19" t="str">
        <x:v>Phase 3 - Load Bearing</x:v>
      </x:c>
      <x:c r="C64" s="13" t="str">
        <x:v>Weekly Backpack Long Walk</x:v>
      </x:c>
      <x:c r="D64" s="20" t="n">
        <x:v>12</x:v>
      </x:c>
      <x:c r="E64" s="26" t="n">
        <x:v>0</x:v>
      </x:c>
      <x:c r="F64" s="27" t="str">
        <x:v>N</x:v>
      </x:c>
      <x:c r="G64" s="28" t="str">
        <x:f>IF(AND(E64=0,UPPER(F64)="N"),"PENDING",IF(AND(E64&gt;=D64,UPPER(F64)="Y"),"SUCCESS",IF(OR(E64&gt;=D64,UPPER(F64)="Y"),"PARTIAL SUCCESS","FAILURE")))</x:f>
        <x:v>PENDING</x:v>
      </x:c>
      <x:c r="H64" s="17" t="str">
        <x:v>Open workout</x:v>
      </x:c>
    </x:row>
    <x:row r="65">
      <x:c r="A65" s="18" t="str">
        <x:v>2026-08-10</x:v>
      </x:c>
      <x:c r="B65" s="19" t="str">
        <x:v>Phase 4 - Mission Match</x:v>
      </x:c>
      <x:c r="C65" s="13" t="str">
        <x:v>Daily Mission Walk</x:v>
      </x:c>
      <x:c r="D65" s="20" t="n">
        <x:v>8</x:v>
      </x:c>
      <x:c r="E65" s="26" t="n">
        <x:v>0</x:v>
      </x:c>
      <x:c r="F65" s="27" t="str">
        <x:v>N</x:v>
      </x:c>
      <x:c r="G65" s="28" t="str">
        <x:f>IF(AND(E65=0,UPPER(F65)="N"),"PENDING",IF(AND(E65&gt;=D65,UPPER(F65)="Y"),"SUCCESS",IF(OR(E65&gt;=D65,UPPER(F65)="Y"),"PARTIAL SUCCESS","FAILURE")))</x:f>
        <x:v>PENDING</x:v>
      </x:c>
      <x:c r="H65" s="17" t="str">
        <x:v>Open workout</x:v>
      </x:c>
    </x:row>
    <x:row r="66">
      <x:c r="A66" s="18" t="str">
        <x:v>2026-08-11</x:v>
      </x:c>
      <x:c r="B66" s="19" t="str">
        <x:v>Phase 4 - Mission Match</x:v>
      </x:c>
      <x:c r="C66" s="13" t="str">
        <x:v>Daily Mission Walk</x:v>
      </x:c>
      <x:c r="D66" s="20" t="n">
        <x:v>8</x:v>
      </x:c>
      <x:c r="E66" s="26" t="n">
        <x:v>0</x:v>
      </x:c>
      <x:c r="F66" s="27" t="str">
        <x:v>N</x:v>
      </x:c>
      <x:c r="G66" s="28" t="str">
        <x:f>IF(AND(E66=0,UPPER(F66)="N"),"PENDING",IF(AND(E66&gt;=D66,UPPER(F66)="Y"),"SUCCESS",IF(OR(E66&gt;=D66,UPPER(F66)="Y"),"PARTIAL SUCCESS","FAILURE")))</x:f>
        <x:v>PENDING</x:v>
      </x:c>
      <x:c r="H66" s="17" t="str">
        <x:v>Open workout</x:v>
      </x:c>
    </x:row>
    <x:row r="67">
      <x:c r="A67" s="18" t="str">
        <x:v>2026-08-12</x:v>
      </x:c>
      <x:c r="B67" s="19" t="str">
        <x:v>Phase 4 - Mission Match</x:v>
      </x:c>
      <x:c r="C67" s="13" t="str">
        <x:v>Daily Mission Walk</x:v>
      </x:c>
      <x:c r="D67" s="20" t="n">
        <x:v>8</x:v>
      </x:c>
      <x:c r="E67" s="26" t="n">
        <x:v>0</x:v>
      </x:c>
      <x:c r="F67" s="27" t="str">
        <x:v>N</x:v>
      </x:c>
      <x:c r="G67" s="28" t="str">
        <x:f>IF(AND(E67=0,UPPER(F67)="N"),"PENDING",IF(AND(E67&gt;=D67,UPPER(F67)="Y"),"SUCCESS",IF(OR(E67&gt;=D67,UPPER(F67)="Y"),"PARTIAL SUCCESS","FAILURE")))</x:f>
        <x:v>PENDING</x:v>
      </x:c>
      <x:c r="H67" s="17" t="str">
        <x:v>Open workout</x:v>
      </x:c>
    </x:row>
    <x:row r="68">
      <x:c r="A68" s="18" t="str">
        <x:v>2026-08-13</x:v>
      </x:c>
      <x:c r="B68" s="19" t="str">
        <x:v>Phase 4 - Mission Match</x:v>
      </x:c>
      <x:c r="C68" s="13" t="str">
        <x:v>Daily Mission Walk</x:v>
      </x:c>
      <x:c r="D68" s="20" t="n">
        <x:v>8</x:v>
      </x:c>
      <x:c r="E68" s="26" t="n">
        <x:v>0</x:v>
      </x:c>
      <x:c r="F68" s="27" t="str">
        <x:v>N</x:v>
      </x:c>
      <x:c r="G68" s="28" t="str">
        <x:f>IF(AND(E68=0,UPPER(F68)="N"),"PENDING",IF(AND(E68&gt;=D68,UPPER(F68)="Y"),"SUCCESS",IF(OR(E68&gt;=D68,UPPER(F68)="Y"),"PARTIAL SUCCESS","FAILURE")))</x:f>
        <x:v>PENDING</x:v>
      </x:c>
      <x:c r="H68" s="17" t="str">
        <x:v>Open workout</x:v>
      </x:c>
    </x:row>
    <x:row r="69">
      <x:c r="A69" s="18" t="str">
        <x:v>2026-08-14</x:v>
      </x:c>
      <x:c r="B69" s="19" t="str">
        <x:v>Phase 4 - Mission Match</x:v>
      </x:c>
      <x:c r="C69" s="13" t="str">
        <x:v>Daily Mission Walk</x:v>
      </x:c>
      <x:c r="D69" s="20" t="n">
        <x:v>8</x:v>
      </x:c>
      <x:c r="E69" s="26" t="n">
        <x:v>0</x:v>
      </x:c>
      <x:c r="F69" s="27" t="str">
        <x:v>N</x:v>
      </x:c>
      <x:c r="G69" s="28" t="str">
        <x:f>IF(AND(E69=0,UPPER(F69)="N"),"PENDING",IF(AND(E69&gt;=D69,UPPER(F69)="Y"),"SUCCESS",IF(OR(E69&gt;=D69,UPPER(F69)="Y"),"PARTIAL SUCCESS","FAILURE")))</x:f>
        <x:v>PENDING</x:v>
      </x:c>
      <x:c r="H69" s="17" t="str">
        <x:v>Open workout</x:v>
      </x:c>
    </x:row>
    <x:row r="70">
      <x:c r="A70" s="18" t="str">
        <x:v>2026-08-15</x:v>
      </x:c>
      <x:c r="B70" s="19" t="str">
        <x:v>Phase 4 - Mission Match</x:v>
      </x:c>
      <x:c r="C70" s="13" t="str">
        <x:v>Daily Mission Walk</x:v>
      </x:c>
      <x:c r="D70" s="20" t="n">
        <x:v>8</x:v>
      </x:c>
      <x:c r="E70" s="26" t="n">
        <x:v>0</x:v>
      </x:c>
      <x:c r="F70" s="27" t="str">
        <x:v>N</x:v>
      </x:c>
      <x:c r="G70" s="28" t="str">
        <x:f>IF(AND(E70=0,UPPER(F70)="N"),"PENDING",IF(AND(E70&gt;=D70,UPPER(F70)="Y"),"SUCCESS",IF(OR(E70&gt;=D70,UPPER(F70)="Y"),"PARTIAL SUCCESS","FAILURE")))</x:f>
        <x:v>PENDING</x:v>
      </x:c>
      <x:c r="H70" s="17" t="str">
        <x:v>Open workout</x:v>
      </x:c>
    </x:row>
    <x:row r="71">
      <x:c r="A71" s="18" t="str">
        <x:v>2026-08-16</x:v>
      </x:c>
      <x:c r="B71" s="19" t="str">
        <x:v>Phase 4 - Mission Match</x:v>
      </x:c>
      <x:c r="C71" s="13" t="str">
        <x:v>Weekly Mission Long Walk</x:v>
      </x:c>
      <x:c r="D71" s="20" t="n">
        <x:v>15</x:v>
      </x:c>
      <x:c r="E71" s="26" t="n">
        <x:v>0</x:v>
      </x:c>
      <x:c r="F71" s="27" t="str">
        <x:v>N</x:v>
      </x:c>
      <x:c r="G71" s="28" t="str">
        <x:f>IF(AND(E71=0,UPPER(F71)="N"),"PENDING",IF(AND(E71&gt;=D71,UPPER(F71)="Y"),"SUCCESS",IF(OR(E71&gt;=D71,UPPER(F71)="Y"),"PARTIAL SUCCESS","FAILURE")))</x:f>
        <x:v>PENDING</x:v>
      </x:c>
      <x:c r="H71" s="17" t="str">
        <x:v>Open workout</x:v>
      </x:c>
    </x:row>
    <x:row r="72">
      <x:c r="A72" s="18" t="str">
        <x:v>2026-08-17</x:v>
      </x:c>
      <x:c r="B72" s="19" t="str">
        <x:v>Phase 4 - Mission Match</x:v>
      </x:c>
      <x:c r="C72" s="13" t="str">
        <x:v>Daily Mission Walk</x:v>
      </x:c>
      <x:c r="D72" s="20" t="n">
        <x:v>8</x:v>
      </x:c>
      <x:c r="E72" s="26" t="n">
        <x:v>0</x:v>
      </x:c>
      <x:c r="F72" s="27" t="str">
        <x:v>N</x:v>
      </x:c>
      <x:c r="G72" s="28" t="str">
        <x:f>IF(AND(E72=0,UPPER(F72)="N"),"PENDING",IF(AND(E72&gt;=D72,UPPER(F72)="Y"),"SUCCESS",IF(OR(E72&gt;=D72,UPPER(F72)="Y"),"PARTIAL SUCCESS","FAILURE")))</x:f>
        <x:v>PENDING</x:v>
      </x:c>
      <x:c r="H72" s="17" t="str">
        <x:v>Open workout</x:v>
      </x:c>
    </x:row>
    <x:row r="73">
      <x:c r="A73" s="18" t="str">
        <x:v>2026-08-18</x:v>
      </x:c>
      <x:c r="B73" s="19" t="str">
        <x:v>Phase 4 - Mission Match</x:v>
      </x:c>
      <x:c r="C73" s="13" t="str">
        <x:v>Daily Mission Walk</x:v>
      </x:c>
      <x:c r="D73" s="20" t="n">
        <x:v>8</x:v>
      </x:c>
      <x:c r="E73" s="26" t="n">
        <x:v>0</x:v>
      </x:c>
      <x:c r="F73" s="27" t="str">
        <x:v>N</x:v>
      </x:c>
      <x:c r="G73" s="28" t="str">
        <x:f>IF(AND(E73=0,UPPER(F73)="N"),"PENDING",IF(AND(E73&gt;=D73,UPPER(F73)="Y"),"SUCCESS",IF(OR(E73&gt;=D73,UPPER(F73)="Y"),"PARTIAL SUCCESS","FAILURE")))</x:f>
        <x:v>PENDING</x:v>
      </x:c>
      <x:c r="H73" s="17" t="str">
        <x:v>Open workout</x:v>
      </x:c>
    </x:row>
    <x:row r="74">
      <x:c r="A74" s="18" t="str">
        <x:v>2026-08-19</x:v>
      </x:c>
      <x:c r="B74" s="19" t="str">
        <x:v>Phase 4 - Mission Match</x:v>
      </x:c>
      <x:c r="C74" s="13" t="str">
        <x:v>Daily Mission Walk</x:v>
      </x:c>
      <x:c r="D74" s="20" t="n">
        <x:v>8</x:v>
      </x:c>
      <x:c r="E74" s="26" t="n">
        <x:v>0</x:v>
      </x:c>
      <x:c r="F74" s="27" t="str">
        <x:v>N</x:v>
      </x:c>
      <x:c r="G74" s="28" t="str">
        <x:f>IF(AND(E74=0,UPPER(F74)="N"),"PENDING",IF(AND(E74&gt;=D74,UPPER(F74)="Y"),"SUCCESS",IF(OR(E74&gt;=D74,UPPER(F74)="Y"),"PARTIAL SUCCESS","FAILURE")))</x:f>
        <x:v>PENDING</x:v>
      </x:c>
      <x:c r="H74" s="17" t="str">
        <x:v>Open workout</x:v>
      </x:c>
    </x:row>
    <x:row r="75">
      <x:c r="A75" s="18" t="str">
        <x:v>2026-08-20</x:v>
      </x:c>
      <x:c r="B75" s="19" t="str">
        <x:v>Phase 4 - Mission Match</x:v>
      </x:c>
      <x:c r="C75" s="13" t="str">
        <x:v>Daily Mission Walk</x:v>
      </x:c>
      <x:c r="D75" s="20" t="n">
        <x:v>8</x:v>
      </x:c>
      <x:c r="E75" s="26" t="n">
        <x:v>0</x:v>
      </x:c>
      <x:c r="F75" s="27" t="str">
        <x:v>N</x:v>
      </x:c>
      <x:c r="G75" s="28" t="str">
        <x:f>IF(AND(E75=0,UPPER(F75)="N"),"PENDING",IF(AND(E75&gt;=D75,UPPER(F75)="Y"),"SUCCESS",IF(OR(E75&gt;=D75,UPPER(F75)="Y"),"PARTIAL SUCCESS","FAILURE")))</x:f>
        <x:v>PENDING</x:v>
      </x:c>
      <x:c r="H75" s="17" t="str">
        <x:v>Open workout</x:v>
      </x:c>
    </x:row>
    <x:row r="76">
      <x:c r="A76" s="18" t="str">
        <x:v>2026-08-21</x:v>
      </x:c>
      <x:c r="B76" s="19" t="str">
        <x:v>Phase 4 - Mission Match</x:v>
      </x:c>
      <x:c r="C76" s="13" t="str">
        <x:v>Daily Mission Walk</x:v>
      </x:c>
      <x:c r="D76" s="20" t="n">
        <x:v>8</x:v>
      </x:c>
      <x:c r="E76" s="26" t="n">
        <x:v>0</x:v>
      </x:c>
      <x:c r="F76" s="27" t="str">
        <x:v>N</x:v>
      </x:c>
      <x:c r="G76" s="28" t="str">
        <x:f>IF(AND(E76=0,UPPER(F76)="N"),"PENDING",IF(AND(E76&gt;=D76,UPPER(F76)="Y"),"SUCCESS",IF(OR(E76&gt;=D76,UPPER(F76)="Y"),"PARTIAL SUCCESS","FAILURE")))</x:f>
        <x:v>PENDING</x:v>
      </x:c>
      <x:c r="H76" s="17" t="str">
        <x:v>Open workout</x:v>
      </x:c>
    </x:row>
    <x:row r="77">
      <x:c r="A77" s="18" t="str">
        <x:v>2026-08-22</x:v>
      </x:c>
      <x:c r="B77" s="19" t="str">
        <x:v>Phase 4 - Mission Match</x:v>
      </x:c>
      <x:c r="C77" s="13" t="str">
        <x:v>Daily Mission Walk</x:v>
      </x:c>
      <x:c r="D77" s="20" t="n">
        <x:v>8</x:v>
      </x:c>
      <x:c r="E77" s="26" t="n">
        <x:v>0</x:v>
      </x:c>
      <x:c r="F77" s="27" t="str">
        <x:v>N</x:v>
      </x:c>
      <x:c r="G77" s="28" t="str">
        <x:f>IF(AND(E77=0,UPPER(F77)="N"),"PENDING",IF(AND(E77&gt;=D77,UPPER(F77)="Y"),"SUCCESS",IF(OR(E77&gt;=D77,UPPER(F77)="Y"),"PARTIAL SUCCESS","FAILURE")))</x:f>
        <x:v>PENDING</x:v>
      </x:c>
      <x:c r="H77" s="17" t="str">
        <x:v>Open workout</x:v>
      </x:c>
    </x:row>
    <x:row r="78">
      <x:c r="A78" s="18" t="str">
        <x:v>2026-08-23</x:v>
      </x:c>
      <x:c r="B78" s="19" t="str">
        <x:v>Phase 4 - Mission Match</x:v>
      </x:c>
      <x:c r="C78" s="13" t="str">
        <x:v>Weekly Mission Long Walk</x:v>
      </x:c>
      <x:c r="D78" s="20" t="n">
        <x:v>15</x:v>
      </x:c>
      <x:c r="E78" s="26" t="n">
        <x:v>0</x:v>
      </x:c>
      <x:c r="F78" s="27" t="str">
        <x:v>N</x:v>
      </x:c>
      <x:c r="G78" s="28" t="str">
        <x:f>IF(AND(E78=0,UPPER(F78)="N"),"PENDING",IF(AND(E78&gt;=D78,UPPER(F78)="Y"),"SUCCESS",IF(OR(E78&gt;=D78,UPPER(F78)="Y"),"PARTIAL SUCCESS","FAILURE")))</x:f>
        <x:v>PENDING</x:v>
      </x:c>
      <x:c r="H78" s="17" t="str">
        <x:v>Open workout</x:v>
      </x:c>
    </x:row>
    <x:row r="79">
      <x:c r="A79" s="18" t="str">
        <x:v>2026-08-24</x:v>
      </x:c>
      <x:c r="B79" s="19" t="str">
        <x:v>Phase 4 - Mission Match</x:v>
      </x:c>
      <x:c r="C79" s="13" t="str">
        <x:v>Daily Mission Walk</x:v>
      </x:c>
      <x:c r="D79" s="20" t="n">
        <x:v>8</x:v>
      </x:c>
      <x:c r="E79" s="26" t="n">
        <x:v>0</x:v>
      </x:c>
      <x:c r="F79" s="27" t="str">
        <x:v>N</x:v>
      </x:c>
      <x:c r="G79" s="28" t="str">
        <x:f>IF(AND(E79=0,UPPER(F79)="N"),"PENDING",IF(AND(E79&gt;=D79,UPPER(F79)="Y"),"SUCCESS",IF(OR(E79&gt;=D79,UPPER(F79)="Y"),"PARTIAL SUCCESS","FAILURE")))</x:f>
        <x:v>PENDING</x:v>
      </x:c>
      <x:c r="H79" s="17" t="str">
        <x:v>Open workout</x:v>
      </x:c>
    </x:row>
    <x:row r="80">
      <x:c r="A80" s="18" t="str">
        <x:v>2026-08-25</x:v>
      </x:c>
      <x:c r="B80" s="19" t="str">
        <x:v>Phase 4 - Mission Match</x:v>
      </x:c>
      <x:c r="C80" s="13" t="str">
        <x:v>Daily Mission Walk</x:v>
      </x:c>
      <x:c r="D80" s="20" t="n">
        <x:v>8</x:v>
      </x:c>
      <x:c r="E80" s="26" t="n">
        <x:v>0</x:v>
      </x:c>
      <x:c r="F80" s="27" t="str">
        <x:v>N</x:v>
      </x:c>
      <x:c r="G80" s="28" t="str">
        <x:f>IF(AND(E80=0,UPPER(F80)="N"),"PENDING",IF(AND(E80&gt;=D80,UPPER(F80)="Y"),"SUCCESS",IF(OR(E80&gt;=D80,UPPER(F80)="Y"),"PARTIAL SUCCESS","FAILURE")))</x:f>
        <x:v>PENDING</x:v>
      </x:c>
      <x:c r="H80" s="17" t="str">
        <x:v>Open workout</x:v>
      </x:c>
    </x:row>
    <x:row r="81">
      <x:c r="A81" s="18" t="str">
        <x:v>2026-08-26</x:v>
      </x:c>
      <x:c r="B81" s="19" t="str">
        <x:v>Phase 4 - Mission Match</x:v>
      </x:c>
      <x:c r="C81" s="13" t="str">
        <x:v>Daily Mission Walk</x:v>
      </x:c>
      <x:c r="D81" s="20" t="n">
        <x:v>8</x:v>
      </x:c>
      <x:c r="E81" s="26" t="n">
        <x:v>0</x:v>
      </x:c>
      <x:c r="F81" s="27" t="str">
        <x:v>N</x:v>
      </x:c>
      <x:c r="G81" s="28" t="str">
        <x:f>IF(AND(E81=0,UPPER(F81)="N"),"PENDING",IF(AND(E81&gt;=D81,UPPER(F81)="Y"),"SUCCESS",IF(OR(E81&gt;=D81,UPPER(F81)="Y"),"PARTIAL SUCCESS","FAILURE")))</x:f>
        <x:v>PENDING</x:v>
      </x:c>
      <x:c r="H81" s="17" t="str">
        <x:v>Open workout</x:v>
      </x:c>
    </x:row>
    <x:row r="82">
      <x:c r="A82" s="18" t="str">
        <x:v>2026-08-27</x:v>
      </x:c>
      <x:c r="B82" s="19" t="str">
        <x:v>Phase 4 - Mission Match</x:v>
      </x:c>
      <x:c r="C82" s="13" t="str">
        <x:v>Daily Mission Walk</x:v>
      </x:c>
      <x:c r="D82" s="20" t="n">
        <x:v>8</x:v>
      </x:c>
      <x:c r="E82" s="26" t="n">
        <x:v>0</x:v>
      </x:c>
      <x:c r="F82" s="27" t="str">
        <x:v>N</x:v>
      </x:c>
      <x:c r="G82" s="28" t="str">
        <x:f>IF(AND(E82=0,UPPER(F82)="N"),"PENDING",IF(AND(E82&gt;=D82,UPPER(F82)="Y"),"SUCCESS",IF(OR(E82&gt;=D82,UPPER(F82)="Y"),"PARTIAL SUCCESS","FAILURE")))</x:f>
        <x:v>PENDING</x:v>
      </x:c>
      <x:c r="H82" s="17" t="str">
        <x:v>Open workout</x:v>
      </x:c>
    </x:row>
    <x:row r="83">
      <x:c r="A83" s="18" t="str">
        <x:v>2026-08-28</x:v>
      </x:c>
      <x:c r="B83" s="19" t="str">
        <x:v>Phase 4 - Mission Match</x:v>
      </x:c>
      <x:c r="C83" s="13" t="str">
        <x:v>Daily Mission Walk</x:v>
      </x:c>
      <x:c r="D83" s="20" t="n">
        <x:v>8</x:v>
      </x:c>
      <x:c r="E83" s="26" t="n">
        <x:v>0</x:v>
      </x:c>
      <x:c r="F83" s="27" t="str">
        <x:v>N</x:v>
      </x:c>
      <x:c r="G83" s="28" t="str">
        <x:f>IF(AND(E83=0,UPPER(F83)="N"),"PENDING",IF(AND(E83&gt;=D83,UPPER(F83)="Y"),"SUCCESS",IF(OR(E83&gt;=D83,UPPER(F83)="Y"),"PARTIAL SUCCESS","FAILURE")))</x:f>
        <x:v>PENDING</x:v>
      </x:c>
      <x:c r="H83" s="17" t="str">
        <x:v>Open workout</x:v>
      </x:c>
    </x:row>
    <x:row r="84">
      <x:c r="A84" s="18" t="str">
        <x:v>2026-08-29</x:v>
      </x:c>
      <x:c r="B84" s="19" t="str">
        <x:v>Phase 4 - Mission Match</x:v>
      </x:c>
      <x:c r="C84" s="13" t="str">
        <x:v>Daily Mission Walk</x:v>
      </x:c>
      <x:c r="D84" s="20" t="n">
        <x:v>8</x:v>
      </x:c>
      <x:c r="E84" s="26" t="n">
        <x:v>0</x:v>
      </x:c>
      <x:c r="F84" s="27" t="str">
        <x:v>N</x:v>
      </x:c>
      <x:c r="G84" s="28" t="str">
        <x:f>IF(AND(E84=0,UPPER(F84)="N"),"PENDING",IF(AND(E84&gt;=D84,UPPER(F84)="Y"),"SUCCESS",IF(OR(E84&gt;=D84,UPPER(F84)="Y"),"PARTIAL SUCCESS","FAILURE")))</x:f>
        <x:v>PENDING</x:v>
      </x:c>
      <x:c r="H84" s="17" t="str">
        <x:v>Open workout</x:v>
      </x:c>
    </x:row>
    <x:row r="85">
      <x:c r="A85" s="18" t="str">
        <x:v>2026-08-30</x:v>
      </x:c>
      <x:c r="B85" s="19" t="str">
        <x:v>Phase 4 - Mission Match</x:v>
      </x:c>
      <x:c r="C85" s="13" t="str">
        <x:v>Weekly Mission Long Walk</x:v>
      </x:c>
      <x:c r="D85" s="20" t="n">
        <x:v>15</x:v>
      </x:c>
      <x:c r="E85" s="26" t="n">
        <x:v>0</x:v>
      </x:c>
      <x:c r="F85" s="27" t="str">
        <x:v>N</x:v>
      </x:c>
      <x:c r="G85" s="28" t="str">
        <x:f>IF(AND(E85=0,UPPER(F85)="N"),"PENDING",IF(AND(E85&gt;=D85,UPPER(F85)="Y"),"SUCCESS",IF(OR(E85&gt;=D85,UPPER(F85)="Y"),"PARTIAL SUCCESS","FAILURE")))</x:f>
        <x:v>PENDING</x:v>
      </x:c>
      <x:c r="H85" s="17" t="str">
        <x:v>Open workout</x:v>
      </x:c>
    </x:row>
    <x:row r="86">
      <x:c r="A86" s="18" t="str">
        <x:v>2026-08-31</x:v>
      </x:c>
      <x:c r="B86" s="19" t="str">
        <x:v>Phase 4 - Mission Match</x:v>
      </x:c>
      <x:c r="C86" s="13" t="str">
        <x:v>Daily Mission Walk</x:v>
      </x:c>
      <x:c r="D86" s="20" t="n">
        <x:v>8</x:v>
      </x:c>
      <x:c r="E86" s="26" t="n">
        <x:v>0</x:v>
      </x:c>
      <x:c r="F86" s="27" t="str">
        <x:v>N</x:v>
      </x:c>
      <x:c r="G86" s="28" t="str">
        <x:f>IF(AND(E86=0,UPPER(F86)="N"),"PENDING",IF(AND(E86&gt;=D86,UPPER(F86)="Y"),"SUCCESS",IF(OR(E86&gt;=D86,UPPER(F86)="Y"),"PARTIAL SUCCESS","FAILURE")))</x:f>
        <x:v>PENDING</x:v>
      </x:c>
      <x:c r="H86" s="17" t="str">
        <x:v>Open workout</x:v>
      </x:c>
    </x:row>
    <x:row r="87">
      <x:c r="A87" s="18" t="str">
        <x:v>2026-09-01</x:v>
      </x:c>
      <x:c r="B87" s="19" t="str">
        <x:v>Phase 4 - Mission Match</x:v>
      </x:c>
      <x:c r="C87" s="13" t="str">
        <x:v>Daily Mission Walk</x:v>
      </x:c>
      <x:c r="D87" s="20" t="n">
        <x:v>8</x:v>
      </x:c>
      <x:c r="E87" s="26" t="n">
        <x:v>0</x:v>
      </x:c>
      <x:c r="F87" s="27" t="str">
        <x:v>N</x:v>
      </x:c>
      <x:c r="G87" s="28" t="str">
        <x:f>IF(AND(E87=0,UPPER(F87)="N"),"PENDING",IF(AND(E87&gt;=D87,UPPER(F87)="Y"),"SUCCESS",IF(OR(E87&gt;=D87,UPPER(F87)="Y"),"PARTIAL SUCCESS","FAILURE")))</x:f>
        <x:v>PENDING</x:v>
      </x:c>
      <x:c r="H87" s="17" t="str">
        <x:v>Open workout</x:v>
      </x:c>
    </x:row>
    <x:row r="88">
      <x:c r="A88" s="18" t="str">
        <x:v>2026-09-02</x:v>
      </x:c>
      <x:c r="B88" s="19" t="str">
        <x:v>Phase 4 - Mission Match</x:v>
      </x:c>
      <x:c r="C88" s="13" t="str">
        <x:v>Daily Mission Walk</x:v>
      </x:c>
      <x:c r="D88" s="20" t="n">
        <x:v>8</x:v>
      </x:c>
      <x:c r="E88" s="26" t="n">
        <x:v>0</x:v>
      </x:c>
      <x:c r="F88" s="27" t="str">
        <x:v>N</x:v>
      </x:c>
      <x:c r="G88" s="28" t="str">
        <x:f>IF(AND(E88=0,UPPER(F88)="N"),"PENDING",IF(AND(E88&gt;=D88,UPPER(F88)="Y"),"SUCCESS",IF(OR(E88&gt;=D88,UPPER(F88)="Y"),"PARTIAL SUCCESS","FAILURE")))</x:f>
        <x:v>PENDING</x:v>
      </x:c>
      <x:c r="H88" s="17" t="str">
        <x:v>Open workout</x:v>
      </x:c>
    </x:row>
    <x:row r="89">
      <x:c r="A89" s="18" t="str">
        <x:v>2026-09-03</x:v>
      </x:c>
      <x:c r="B89" s="19" t="str">
        <x:v>Phase 4 - Mission Match</x:v>
      </x:c>
      <x:c r="C89" s="13" t="str">
        <x:v>Daily Mission Walk</x:v>
      </x:c>
      <x:c r="D89" s="20" t="n">
        <x:v>8</x:v>
      </x:c>
      <x:c r="E89" s="26" t="n">
        <x:v>0</x:v>
      </x:c>
      <x:c r="F89" s="27" t="str">
        <x:v>N</x:v>
      </x:c>
      <x:c r="G89" s="28" t="str">
        <x:f>IF(AND(E89=0,UPPER(F89)="N"),"PENDING",IF(AND(E89&gt;=D89,UPPER(F89)="Y"),"SUCCESS",IF(OR(E89&gt;=D89,UPPER(F89)="Y"),"PARTIAL SUCCESS","FAILURE")))</x:f>
        <x:v>PENDING</x:v>
      </x:c>
      <x:c r="H89" s="17" t="str">
        <x:v>Open workout</x:v>
      </x:c>
    </x:row>
    <x:row r="90">
      <x:c r="A90" s="18" t="str">
        <x:v>2026-09-04</x:v>
      </x:c>
      <x:c r="B90" s="19" t="str">
        <x:v>Phase 4 - Mission Match</x:v>
      </x:c>
      <x:c r="C90" s="13" t="str">
        <x:v>Daily Mission Walk</x:v>
      </x:c>
      <x:c r="D90" s="20" t="n">
        <x:v>8</x:v>
      </x:c>
      <x:c r="E90" s="26" t="n">
        <x:v>0</x:v>
      </x:c>
      <x:c r="F90" s="27" t="str">
        <x:v>N</x:v>
      </x:c>
      <x:c r="G90" s="28" t="str">
        <x:f>IF(AND(E90=0,UPPER(F90)="N"),"PENDING",IF(AND(E90&gt;=D90,UPPER(F90)="Y"),"SUCCESS",IF(OR(E90&gt;=D90,UPPER(F90)="Y"),"PARTIAL SUCCESS","FAILURE")))</x:f>
        <x:v>PENDING</x:v>
      </x:c>
      <x:c r="H90" s="17" t="str">
        <x:v>Open workout</x:v>
      </x:c>
    </x:row>
    <x:row r="91">
      <x:c r="A91" s="18" t="str">
        <x:v>2026-09-05</x:v>
      </x:c>
      <x:c r="B91" s="19" t="str">
        <x:v>Phase 4 - Mission Match</x:v>
      </x:c>
      <x:c r="C91" s="13" t="str">
        <x:v>Endurance Peak Walk</x:v>
      </x:c>
      <x:c r="D91" s="20" t="n">
        <x:v>21</x:v>
      </x:c>
      <x:c r="E91" s="26" t="n">
        <x:v>0</x:v>
      </x:c>
      <x:c r="F91" s="27" t="str">
        <x:v>N</x:v>
      </x:c>
      <x:c r="G91" s="28" t="str">
        <x:f>IF(AND(E91=0,UPPER(F91)="N"),"PENDING",IF(AND(E91&gt;=D91,UPPER(F91)="Y"),"SUCCESS",IF(OR(E91&gt;=D91,UPPER(F91)="Y"),"PARTIAL SUCCESS","FAILURE")))</x:f>
        <x:v>PENDING</x:v>
      </x:c>
      <x:c r="H91" s="17" t="str">
        <x:v>Open workout</x:v>
      </x:c>
    </x:row>
  </x:sheetData>
  <x:conditionalFormatting sqref="G2:G91">
    <x:cfRule type="containsText" dxfId="0" priority="1" operator="containsText" text="SUCCESS"/>
    <x:cfRule type="containsText" dxfId="1" priority="2" operator="containsText" text="PARTIAL SUCCESS"/>
    <x:cfRule type="containsText" dxfId="2" priority="3" operator="containsText" text="FAILURE"/>
    <x:cfRule type="containsText" dxfId="3" priority="4" operator="containsText" text="PENDING"/>
  </x:conditionalFormatting>
  <x:dataValidations count="1">
    <x:dataValidation type="list" sqref="F2:F91">
      <x:formula1>"Y,N"</x:formula1>
    </x:dataValidation>
  </x:dataValidations>
  <x:pageMargins left="0.7" right="0.7" top="0.75" bottom="0.75" header="0.3" footer="0.3"/>
  <x:hyperlinks>
    <x:hyperlink ref="H2" r:id="rId1"/>
    <x:hyperlink ref="H3" r:id="rId2"/>
    <x:hyperlink ref="H4" r:id="rId3"/>
    <x:hyperlink ref="H5" r:id="rId4"/>
    <x:hyperlink ref="H6" r:id="rId5"/>
    <x:hyperlink ref="H7" r:id="rId6"/>
    <x:hyperlink ref="H8" r:id="rId7"/>
    <x:hyperlink ref="H9" r:id="rId8"/>
    <x:hyperlink ref="H10" r:id="rId9"/>
    <x:hyperlink ref="H11" r:id="rId10"/>
    <x:hyperlink ref="H12" r:id="rId11"/>
    <x:hyperlink ref="H13" r:id="rId12"/>
    <x:hyperlink ref="H14" r:id="rId13"/>
    <x:hyperlink ref="H15" r:id="rId14"/>
    <x:hyperlink ref="H16" r:id="rId15"/>
    <x:hyperlink ref="H17" r:id="rId16"/>
    <x:hyperlink ref="H18" r:id="rId17"/>
    <x:hyperlink ref="H19" r:id="rId18"/>
    <x:hyperlink ref="H20" r:id="rId19"/>
    <x:hyperlink ref="H21" r:id="rId20"/>
    <x:hyperlink ref="H22" r:id="rId21"/>
    <x:hyperlink ref="H23" r:id="rId22"/>
    <x:hyperlink ref="H24" r:id="rId23"/>
    <x:hyperlink ref="H25" r:id="rId24"/>
    <x:hyperlink ref="H26" r:id="rId25"/>
    <x:hyperlink ref="H27" r:id="rId26"/>
    <x:hyperlink ref="H28" r:id="rId27"/>
    <x:hyperlink ref="H29" r:id="rId28"/>
    <x:hyperlink ref="H30" r:id="rId29"/>
    <x:hyperlink ref="H31" r:id="rId30"/>
    <x:hyperlink ref="H32" r:id="rId31"/>
    <x:hyperlink ref="H33" r:id="rId32"/>
    <x:hyperlink ref="H34" r:id="rId33"/>
    <x:hyperlink ref="H35" r:id="rId34"/>
    <x:hyperlink ref="H36" r:id="rId35"/>
    <x:hyperlink ref="H37" r:id="rId36"/>
    <x:hyperlink ref="H38" r:id="rId37"/>
    <x:hyperlink ref="H39" r:id="rId38"/>
    <x:hyperlink ref="H40" r:id="rId39"/>
    <x:hyperlink ref="H41" r:id="rId40"/>
    <x:hyperlink ref="H42" r:id="rId41"/>
    <x:hyperlink ref="H43" r:id="rId42"/>
    <x:hyperlink ref="H44" r:id="rId43"/>
    <x:hyperlink ref="H45" r:id="rId44"/>
    <x:hyperlink ref="H46" r:id="rId45"/>
    <x:hyperlink ref="H47" r:id="rId46"/>
    <x:hyperlink ref="H48" r:id="rId47"/>
    <x:hyperlink ref="H49" r:id="rId48"/>
    <x:hyperlink ref="H50" r:id="rId49"/>
    <x:hyperlink ref="H51" r:id="rId50"/>
    <x:hyperlink ref="H52" r:id="rId51"/>
    <x:hyperlink ref="H53" r:id="rId52"/>
    <x:hyperlink ref="H54" r:id="rId53"/>
    <x:hyperlink ref="H55" r:id="rId54"/>
    <x:hyperlink ref="H56" r:id="rId55"/>
    <x:hyperlink ref="H57" r:id="rId56"/>
    <x:hyperlink ref="H58" r:id="rId57"/>
    <x:hyperlink ref="H59" r:id="rId58"/>
    <x:hyperlink ref="H60" r:id="rId59"/>
    <x:hyperlink ref="H61" r:id="rId60"/>
    <x:hyperlink ref="H62" r:id="rId61"/>
    <x:hyperlink ref="H63" r:id="rId62"/>
    <x:hyperlink ref="H64" r:id="rId63"/>
    <x:hyperlink ref="H65" r:id="rId64"/>
    <x:hyperlink ref="H66" r:id="rId65"/>
    <x:hyperlink ref="H67" r:id="rId66"/>
    <x:hyperlink ref="H68" r:id="rId67"/>
    <x:hyperlink ref="H69" r:id="rId68"/>
    <x:hyperlink ref="H70" r:id="rId69"/>
    <x:hyperlink ref="H71" r:id="rId70"/>
    <x:hyperlink ref="H72" r:id="rId71"/>
    <x:hyperlink ref="H73" r:id="rId72"/>
    <x:hyperlink ref="H74" r:id="rId73"/>
    <x:hyperlink ref="H75" r:id="rId74"/>
    <x:hyperlink ref="H76" r:id="rId75"/>
    <x:hyperlink ref="H77" r:id="rId76"/>
    <x:hyperlink ref="H78" r:id="rId77"/>
    <x:hyperlink ref="H79" r:id="rId78"/>
    <x:hyperlink ref="H80" r:id="rId79"/>
    <x:hyperlink ref="H81" r:id="rId80"/>
    <x:hyperlink ref="H82" r:id="rId81"/>
    <x:hyperlink ref="H83" r:id="rId82"/>
    <x:hyperlink ref="H84" r:id="rId83"/>
    <x:hyperlink ref="H85" r:id="rId84"/>
    <x:hyperlink ref="H86" r:id="rId85"/>
    <x:hyperlink ref="H87" r:id="rId86"/>
    <x:hyperlink ref="H88" r:id="rId87"/>
    <x:hyperlink ref="H89" r:id="rId88"/>
    <x:hyperlink ref="H90" r:id="rId89"/>
    <x:hyperlink ref="H91" r:id="rId90"/>
  </x:hyperlinks>
</x:worksheet>
</file>